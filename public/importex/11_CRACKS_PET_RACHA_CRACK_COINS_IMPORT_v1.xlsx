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e602efd44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5ca8b740493d4655"/>
    <x:sheet xmlns:r="http://schemas.openxmlformats.org/officeDocument/2006/relationships" name="01_CONFIG" sheetId="2" r:id="Rafa44ac6a8fe4912"/>
    <x:sheet xmlns:r="http://schemas.openxmlformats.org/officeDocument/2006/relationships" name="02_PET_APORTES" sheetId="3" r:id="R91bbadf522654f4f"/>
    <x:sheet xmlns:r="http://schemas.openxmlformats.org/officeDocument/2006/relationships" name="03_PET_LOTES" sheetId="4" r:id="R7a56b783ae72495d"/>
    <x:sheet xmlns:r="http://schemas.openxmlformats.org/officeDocument/2006/relationships" name="04_PET_LIQUIDACIONES" sheetId="5" r:id="R55d64a18858d47af"/>
    <x:sheet xmlns:r="http://schemas.openxmlformats.org/officeDocument/2006/relationships" name="05_RACHA_RESULTADOS" sheetId="6" r:id="R09c7afd5cd6e4fb0"/>
    <x:sheet xmlns:r="http://schemas.openxmlformats.org/officeDocument/2006/relationships" name="06_CRACK_COINS_LEDGER" sheetId="7" r:id="Radddddb7075948c0"/>
    <x:sheet xmlns:r="http://schemas.openxmlformats.org/officeDocument/2006/relationships" name="07_CORRECCIONES" sheetId="8" r:id="Rca2f511818504ef0"/>
    <x:sheet xmlns:r="http://schemas.openxmlformats.org/officeDocument/2006/relationships" name="08_MAPEO_BD" sheetId="9" r:id="Rf1c3a17c78114869"/>
    <x:sheet xmlns:r="http://schemas.openxmlformats.org/officeDocument/2006/relationships" name="09_CATALOGOS" sheetId="10" r:id="R691995c335c2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%"/>
    <x:numFmt numFmtId="201" formatCode="yyyy-mm-dd"/>
    <x:numFmt numFmtId="202" formatCode="0"/>
    <x:numFmt numFmtId="203" formatCode="0.00"/>
    <x:numFmt numFmtId="204" formatCode="0.000"/>
    <x:numFmt numFmtId="205" formatCode="#,##0 &quot;COP&quot;"/>
    <x:numFmt numFmtId="206" formatCode="#,##0.00 &quot;COP/kg&quot;"/>
    <x:numFmt numFmtId="207" formatCode="#,##0.00"/>
    <x:numFmt numFmtId="208" formatCode="$#,##0.00"/>
    <x:numFmt numFmtId="209" formatCode="yyyy-mm-dd hh:mm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E5E7EB"/>
      <x:name val="Carlito"/>
    </x:font>
    <x:font>
      <x:b/>
      <x:sz val="11"/>
      <x:color rgb="FFFFFFFF"/>
      <x:name val="Carlito"/>
    </x:font>
    <x:font>
      <x:sz val="10"/>
      <x:color rgb="FF080808"/>
      <x:name val="Carlito"/>
    </x:font>
    <x:font>
      <x:sz val="10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0808"/>
      </x:patternFill>
    </x:fill>
    <x:fill>
      <x:patternFill patternType="solid">
        <x:fgColor rgb="FF1A1A1A"/>
      </x:patternFill>
    </x:fill>
    <x:fill>
      <x:patternFill patternType="solid">
        <x:fgColor rgb="FF111111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</x:fills>
  <x:borders count="10">
    <x:border/>
    <x:border/>
    <x:border>
      <x:bottom style="thin">
        <x:color rgb="FFD4AE6F"/>
      </x:bottom>
    </x:border>
    <x:border>
      <x:bottom style="thin">
        <x:color rgb="FFD4AE6F"/>
      </x:bottom>
    </x:border>
    <x:border>
      <x:right style="hair">
        <x:color rgb="FFD9D9D9"/>
      </x:right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right style="hair">
        <x:color rgb="FFD9D9D9"/>
      </x:right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4" fillId="0" borderId="5" xfId="0" applyNumberFormat="1" applyFont="1" applyFill="1" applyBorder="1"/>
    <x:xf numFmtId="202" fontId="4" fillId="0" borderId="5" xfId="0" applyNumberFormat="1" applyFont="1" applyFill="1" applyBorder="1"/>
    <x:xf numFmtId="203" fontId="4" fillId="0" borderId="5" xfId="0" applyNumberFormat="1" applyFont="1" applyFill="1" applyBorder="1"/>
    <x:xf numFmtId="204" fontId="4" fillId="0" borderId="5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202" fontId="4" fillId="0" borderId="5" xfId="0" applyNumberFormat="1" applyFont="1" applyFill="1" applyBorder="1" applyAlignment="1">
      <x:alignment wrapText="1"/>
    </x:xf>
    <x:xf numFmtId="203" fontId="4" fillId="0" borderId="5" xfId="0" applyNumberFormat="1" applyFont="1" applyFill="1" applyBorder="1" applyAlignment="1">
      <x:alignment wrapText="1"/>
    </x:xf>
    <x:xf numFmtId="204" fontId="4" fillId="0" borderId="5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201" fontId="4" fillId="0" borderId="8" xfId="0" applyNumberFormat="1" applyFont="1" applyFill="1" applyBorder="1"/>
    <x:xf numFmtId="202" fontId="4" fillId="0" borderId="8" xfId="0" applyNumberFormat="1" applyFont="1" applyFill="1" applyBorder="1"/>
    <x:xf numFmtId="203" fontId="4" fillId="0" borderId="8" xfId="0" applyNumberFormat="1" applyFont="1" applyFill="1" applyBorder="1"/>
    <x:xf numFmtId="204" fontId="4" fillId="0" borderId="8" xfId="0" applyNumberFormat="1" applyFont="1" applyFill="1" applyBorder="1"/>
    <x:xf numFmtId="201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202" fontId="4" fillId="0" borderId="8" xfId="0" applyNumberFormat="1" applyFont="1" applyFill="1" applyBorder="1" applyAlignment="1">
      <x:alignment wrapText="1"/>
    </x:xf>
    <x:xf numFmtId="203" fontId="4" fillId="0" borderId="8" xfId="0" applyNumberFormat="1" applyFont="1" applyFill="1" applyBorder="1" applyAlignment="1">
      <x:alignment wrapText="1"/>
    </x:xf>
    <x:xf numFmtId="204" fontId="4" fillId="0" borderId="8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4" fontId="4" fillId="0" borderId="8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8" fontId="4" fillId="0" borderId="0" xfId="0" applyNumberFormat="1" applyFont="1" applyFill="1" applyBorder="1"/>
    <x:xf numFmtId="205" fontId="4" fillId="0" borderId="5" xfId="0" applyNumberFormat="1" applyFont="1" applyFill="1" applyBorder="1"/>
    <x:xf numFmtId="206" fontId="4" fillId="0" borderId="5" xfId="0" applyNumberFormat="1" applyFont="1" applyFill="1" applyBorder="1"/>
    <x:xf numFmtId="207" fontId="4" fillId="0" borderId="5" xfId="0" applyNumberFormat="1" applyFont="1" applyFill="1" applyBorder="1"/>
    <x:xf numFmtId="208" fontId="4" fillId="0" borderId="5" xfId="0" applyNumberFormat="1" applyFont="1" applyFill="1" applyBorder="1"/>
    <x:xf numFmtId="205" fontId="4" fillId="0" borderId="0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207" fontId="4" fillId="0" borderId="0" xfId="0" applyNumberFormat="1" applyFont="1" applyFill="1" applyBorder="1" applyAlignment="1">
      <x:alignment wrapText="1"/>
    </x:xf>
    <x:xf numFmtId="208" fontId="4" fillId="0" borderId="0" xfId="0" applyNumberFormat="1" applyFont="1" applyFill="1" applyBorder="1" applyAlignment="1">
      <x:alignment wrapText="1"/>
    </x:xf>
    <x:xf numFmtId="205" fontId="4" fillId="0" borderId="5" xfId="0" applyNumberFormat="1" applyFont="1" applyFill="1" applyBorder="1" applyAlignment="1">
      <x:alignment wrapText="1"/>
    </x:xf>
    <x:xf numFmtId="206" fontId="4" fillId="0" borderId="5" xfId="0" applyNumberFormat="1" applyFont="1" applyFill="1" applyBorder="1" applyAlignment="1">
      <x:alignment wrapText="1"/>
    </x:xf>
    <x:xf numFmtId="207" fontId="4" fillId="0" borderId="5" xfId="0" applyNumberFormat="1" applyFont="1" applyFill="1" applyBorder="1" applyAlignment="1">
      <x:alignment wrapText="1"/>
    </x:xf>
    <x:xf numFmtId="208" fontId="4" fillId="0" borderId="5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 wrapText="1"/>
    </x:xf>
    <x:xf numFmtId="208" fontId="4" fillId="0" borderId="0" xfId="0" applyNumberFormat="1" applyFont="1" applyFill="1" applyBorder="1" applyAlignment="1">
      <x:alignment vertical="top" wrapText="1"/>
    </x:xf>
    <x:xf numFmtId="205" fontId="4" fillId="0" borderId="5" xfId="0" applyNumberFormat="1" applyFont="1" applyFill="1" applyBorder="1" applyAlignment="1">
      <x:alignment vertical="top" wrapText="1"/>
    </x:xf>
    <x:xf numFmtId="206" fontId="4" fillId="0" borderId="5" xfId="0" applyNumberFormat="1" applyFont="1" applyFill="1" applyBorder="1" applyAlignment="1">
      <x:alignment vertical="top" wrapText="1"/>
    </x:xf>
    <x:xf numFmtId="207" fontId="4" fillId="0" borderId="5" xfId="0" applyNumberFormat="1" applyFont="1" applyFill="1" applyBorder="1" applyAlignment="1">
      <x:alignment vertical="top" wrapText="1"/>
    </x:xf>
    <x:xf numFmtId="208" fontId="4" fillId="0" borderId="5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/>
    <x:xf numFmtId="206" fontId="4" fillId="0" borderId="1" xfId="0" applyNumberFormat="1" applyFont="1" applyFill="1" applyBorder="1"/>
    <x:xf numFmtId="207" fontId="4" fillId="0" borderId="1" xfId="0" applyNumberFormat="1" applyFont="1" applyFill="1" applyBorder="1"/>
    <x:xf numFmtId="208" fontId="4" fillId="0" borderId="1" xfId="0" applyNumberFormat="1" applyFont="1" applyFill="1" applyBorder="1"/>
    <x:xf numFmtId="205" fontId="4" fillId="0" borderId="8" xfId="0" applyNumberFormat="1" applyFont="1" applyFill="1" applyBorder="1"/>
    <x:xf numFmtId="206" fontId="4" fillId="0" borderId="8" xfId="0" applyNumberFormat="1" applyFont="1" applyFill="1" applyBorder="1"/>
    <x:xf numFmtId="207" fontId="4" fillId="0" borderId="8" xfId="0" applyNumberFormat="1" applyFont="1" applyFill="1" applyBorder="1"/>
    <x:xf numFmtId="208" fontId="4" fillId="0" borderId="8" xfId="0" applyNumberFormat="1" applyFont="1" applyFill="1" applyBorder="1"/>
    <x:xf numFmtId="205" fontId="4" fillId="0" borderId="1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207" fontId="4" fillId="0" borderId="1" xfId="0" applyNumberFormat="1" applyFont="1" applyFill="1" applyBorder="1" applyAlignment="1">
      <x:alignment wrapText="1"/>
    </x:xf>
    <x:xf numFmtId="208" fontId="4" fillId="0" borderId="1" xfId="0" applyNumberFormat="1" applyFont="1" applyFill="1" applyBorder="1" applyAlignment="1">
      <x:alignment wrapText="1"/>
    </x:xf>
    <x:xf numFmtId="205" fontId="4" fillId="0" borderId="8" xfId="0" applyNumberFormat="1" applyFont="1" applyFill="1" applyBorder="1" applyAlignment="1">
      <x:alignment wrapText="1"/>
    </x:xf>
    <x:xf numFmtId="206" fontId="4" fillId="0" borderId="8" xfId="0" applyNumberFormat="1" applyFont="1" applyFill="1" applyBorder="1" applyAlignment="1">
      <x:alignment wrapText="1"/>
    </x:xf>
    <x:xf numFmtId="207" fontId="4" fillId="0" borderId="8" xfId="0" applyNumberFormat="1" applyFont="1" applyFill="1" applyBorder="1" applyAlignment="1">
      <x:alignment wrapText="1"/>
    </x:xf>
    <x:xf numFmtId="208" fontId="4" fillId="0" borderId="8" xfId="0" applyNumberFormat="1" applyFont="1" applyFill="1" applyBorder="1" applyAlignment="1">
      <x:alignment wrapText="1"/>
    </x:xf>
    <x:xf numFmtId="205" fontId="4" fillId="0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05" fontId="4" fillId="0" borderId="8" xfId="0" applyNumberFormat="1" applyFont="1" applyFill="1" applyBorder="1" applyAlignment="1">
      <x:alignment vertical="top" wrapText="1"/>
    </x:xf>
    <x:xf numFmtId="206" fontId="4" fillId="0" borderId="8" xfId="0" applyNumberFormat="1" applyFont="1" applyFill="1" applyBorder="1" applyAlignment="1">
      <x:alignment vertical="top" wrapText="1"/>
    </x:xf>
    <x:xf numFmtId="207" fontId="4" fillId="0" borderId="8" xfId="0" applyNumberFormat="1" applyFont="1" applyFill="1" applyBorder="1" applyAlignment="1">
      <x:alignment vertical="top" wrapText="1"/>
    </x:xf>
    <x:xf numFmtId="208" fontId="4" fillId="0" borderId="8" xfId="0" applyNumberFormat="1" applyFont="1" applyFill="1" applyBorder="1" applyAlignment="1">
      <x:alignment vertical="top" wrapText="1"/>
    </x:xf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09" fontId="4" fillId="0" borderId="0" xfId="0" applyNumberFormat="1" applyFont="1" applyFill="1" applyBorder="1"/>
    <x:xf numFmtId="209" fontId="4" fillId="0" borderId="5" xfId="0" applyNumberFormat="1" applyFont="1" applyFill="1" applyBorder="1"/>
    <x:xf numFmtId="209" fontId="4" fillId="0" borderId="0" xfId="0" applyNumberFormat="1" applyFont="1" applyFill="1" applyBorder="1" applyAlignment="1">
      <x:alignment wrapText="1"/>
    </x:xf>
    <x:xf numFmtId="209" fontId="4" fillId="0" borderId="5" xfId="0" applyNumberFormat="1" applyFont="1" applyFill="1" applyBorder="1" applyAlignment="1">
      <x:alignment wrapText="1"/>
    </x:xf>
    <x:xf numFmtId="209" fontId="4" fillId="0" borderId="0" xfId="0" applyNumberFormat="1" applyFont="1" applyFill="1" applyBorder="1" applyAlignment="1">
      <x:alignment vertical="top" wrapText="1"/>
    </x:xf>
    <x:xf numFmtId="209" fontId="4" fillId="0" borderId="5" xfId="0" applyNumberFormat="1" applyFont="1" applyFill="1" applyBorder="1" applyAlignment="1">
      <x:alignment vertical="top" wrapText="1"/>
    </x:xf>
    <x:xf numFmtId="209" fontId="4" fillId="0" borderId="1" xfId="0" applyNumberFormat="1" applyFont="1" applyFill="1" applyBorder="1"/>
    <x:xf numFmtId="209" fontId="4" fillId="0" borderId="8" xfId="0" applyNumberFormat="1" applyFont="1" applyFill="1" applyBorder="1"/>
    <x:xf numFmtId="209" fontId="4" fillId="0" borderId="1" xfId="0" applyNumberFormat="1" applyFont="1" applyFill="1" applyBorder="1" applyAlignment="1">
      <x:alignment wrapText="1"/>
    </x:xf>
    <x:xf numFmtId="209" fontId="4" fillId="0" borderId="8" xfId="0" applyNumberFormat="1" applyFont="1" applyFill="1" applyBorder="1" applyAlignment="1">
      <x:alignment wrapText="1"/>
    </x:xf>
    <x:xf numFmtId="209" fontId="4" fillId="0" borderId="1" xfId="0" applyNumberFormat="1" applyFont="1" applyFill="1" applyBorder="1" applyAlignment="1">
      <x:alignment vertical="top" wrapText="1"/>
    </x:xf>
    <x:xf numFmtId="209" fontId="4" fillId="0" borderId="8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203" fontId="4" fillId="6" borderId="0" xfId="0" applyNumberFormat="1" applyFont="1" applyFill="1" applyBorder="1" applyAlignment="1">
      <x:alignment vertical="top" wrapText="1"/>
    </x:xf>
    <x:xf numFmtId="203" fontId="4" fillId="6" borderId="5" xfId="0" applyNumberFormat="1" applyFont="1" applyFill="1" applyBorder="1" applyAlignment="1">
      <x:alignment vertical="top" wrapText="1"/>
    </x:xf>
    <x:xf numFmtId="203" fontId="4" fillId="6" borderId="1" xfId="0" applyNumberFormat="1" applyFont="1" applyFill="1" applyBorder="1" applyAlignment="1">
      <x:alignment vertical="top" wrapText="1"/>
    </x:xf>
    <x:xf numFmtId="203" fontId="4" fillId="6" borderId="8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  <x:xf numFmtId="204" fontId="4" fillId="6" borderId="5" xfId="0" applyNumberFormat="1" applyFont="1" applyFill="1" applyBorder="1" applyAlignment="1">
      <x:alignment vertical="top" wrapText="1"/>
    </x:xf>
    <x:xf numFmtId="204" fontId="4" fillId="6" borderId="1" xfId="0" applyNumberFormat="1" applyFont="1" applyFill="1" applyBorder="1" applyAlignment="1">
      <x:alignment vertical="top" wrapText="1"/>
    </x:xf>
    <x:xf numFmtId="204" fontId="4" fillId="6" borderId="8" xfId="0" applyNumberFormat="1" applyFont="1" applyFill="1" applyBorder="1" applyAlignment="1">
      <x:alignment vertical="top" wrapText="1"/>
    </x:xf>
    <x:xf numFmtId="202" fontId="4" fillId="6" borderId="0" xfId="0" applyNumberFormat="1" applyFont="1" applyFill="1" applyBorder="1" applyAlignment="1">
      <x:alignment vertical="top" wrapText="1"/>
    </x:xf>
    <x:xf numFmtId="202" fontId="4" fillId="6" borderId="5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2" fontId="4" fillId="6" borderId="8" xfId="0" applyNumberFormat="1" applyFont="1" applyFill="1" applyBorder="1" applyAlignment="1">
      <x:alignment vertical="top" wrapText="1"/>
    </x:xf>
    <x:xf numFmtId="206" fontId="4" fillId="6" borderId="0" xfId="0" applyNumberFormat="1" applyFont="1" applyFill="1" applyBorder="1" applyAlignment="1">
      <x:alignment vertical="top" wrapText="1"/>
    </x:xf>
    <x:xf numFmtId="206" fontId="4" fillId="6" borderId="5" xfId="0" applyNumberFormat="1" applyFont="1" applyFill="1" applyBorder="1" applyAlignment="1">
      <x:alignment vertical="top" wrapText="1"/>
    </x:xf>
    <x:xf numFmtId="206" fontId="4" fillId="6" borderId="1" xfId="0" applyNumberFormat="1" applyFont="1" applyFill="1" applyBorder="1" applyAlignment="1">
      <x:alignment vertical="top" wrapText="1"/>
    </x:xf>
    <x:xf numFmtId="206" fontId="4" fillId="6" borderId="8" xfId="0" applyNumberFormat="1" applyFont="1" applyFill="1" applyBorder="1" applyAlignment="1">
      <x:alignment vertical="top" wrapText="1"/>
    </x:xf>
    <x:xf numFmtId="208" fontId="4" fillId="6" borderId="0" xfId="0" applyNumberFormat="1" applyFont="1" applyFill="1" applyBorder="1" applyAlignment="1">
      <x:alignment vertical="top" wrapText="1"/>
    </x:xf>
    <x:xf numFmtId="208" fontId="4" fillId="6" borderId="5" xfId="0" applyNumberFormat="1" applyFont="1" applyFill="1" applyBorder="1" applyAlignment="1">
      <x:alignment vertical="top" wrapText="1"/>
    </x:xf>
    <x:xf numFmtId="208" fontId="4" fillId="6" borderId="1" xfId="0" applyNumberFormat="1" applyFont="1" applyFill="1" applyBorder="1" applyAlignment="1">
      <x:alignment vertical="top" wrapText="1"/>
    </x:xf>
    <x:xf numFmtId="208" fontId="4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3d015b1a43c2" /><Relationship Type="http://schemas.openxmlformats.org/officeDocument/2006/relationships/theme" Target="/xl/theme/theme1.xml" Id="R61fe2e965eb44bd8" /><Relationship Type="http://schemas.openxmlformats.org/officeDocument/2006/relationships/sharedStrings" Target="/xl/sharedStrings.xml" Id="Rd62477187f03419f" /><Relationship Type="http://schemas.openxmlformats.org/officeDocument/2006/relationships/worksheet" Target="/xl/worksheets/sheet1.xml" Id="R5ca8b740493d4655" /><Relationship Type="http://schemas.openxmlformats.org/officeDocument/2006/relationships/worksheet" Target="/xl/worksheets/sheet2.xml" Id="Rafa44ac6a8fe4912" /><Relationship Type="http://schemas.openxmlformats.org/officeDocument/2006/relationships/worksheet" Target="/xl/worksheets/sheet3.xml" Id="R91bbadf522654f4f" /><Relationship Type="http://schemas.openxmlformats.org/officeDocument/2006/relationships/worksheet" Target="/xl/worksheets/sheet4.xml" Id="R7a56b783ae72495d" /><Relationship Type="http://schemas.openxmlformats.org/officeDocument/2006/relationships/worksheet" Target="/xl/worksheets/sheet5.xml" Id="R55d64a18858d47af" /><Relationship Type="http://schemas.openxmlformats.org/officeDocument/2006/relationships/worksheet" Target="/xl/worksheets/sheet6.xml" Id="R09c7afd5cd6e4fb0" /><Relationship Type="http://schemas.openxmlformats.org/officeDocument/2006/relationships/worksheet" Target="/xl/worksheets/sheet7.xml" Id="Radddddb7075948c0" /><Relationship Type="http://schemas.openxmlformats.org/officeDocument/2006/relationships/worksheet" Target="/xl/worksheets/sheet8.xml" Id="Rca2f511818504ef0" /><Relationship Type="http://schemas.openxmlformats.org/officeDocument/2006/relationships/worksheet" Target="/xl/worksheets/sheet9.xml" Id="Rf1c3a17c78114869" /><Relationship Type="http://schemas.openxmlformats.org/officeDocument/2006/relationships/worksheet" Target="/xl/worksheets/sheet10.xml" Id="R691995c335c2461a" /></Relationships>
</file>

<file path=xl/tables/table1.xml><?xml version="1.0" encoding="utf-8"?>
<x:table xmlns:x="http://schemas.openxmlformats.org/spreadsheetml/2006/main" id="1" name="PetAportesTable" displayName="PetAportesTable" ref="A4:M204" headerRowCount="1" totalsRowCount="0" totalsRowShown="0">
  <x:tableColumns count="13">
    <x:tableColumn id="1" name="aporte_id"/>
    <x:tableColumn id="2" name="fecha"/>
    <x:tableColumn id="3" name="club_id"/>
    <x:tableColumn id="4" name="player_id"/>
    <x:tableColumn id="5" name="session_id"/>
    <x:tableColumn id="6" name="botellas_recolectadas"/>
    <x:tableColumn id="7" name="responsable_user_id"/>
    <x:tableColumn id="8" name="lote_id"/>
    <x:tableColumn id="9" name="estado"/>
    <x:tableColumn id="10" name="peso_ref_g"/>
    <x:tableColumn id="11" name="kg_estimados"/>
    <x:tableColumn id="12" name="observaciones"/>
    <x:tableColumn id="13" name="correctio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tLotesTable" displayName="PetLotesTable" ref="A4:N204" headerRowCount="1" totalsRowCount="0" totalsRowShown="0">
  <x:tableColumns count="14">
    <x:tableColumn id="1" name="lote_id"/>
    <x:tableColumn id="2" name="club_id"/>
    <x:tableColumn id="3" name="fecha_despacho"/>
    <x:tableColumn id="4" name="responsable_salida"/>
    <x:tableColumn id="5" name="botellas_enviadas"/>
    <x:tableColumn id="6" name="kg_estimados"/>
    <x:tableColumn id="7" name="compactadora"/>
    <x:tableColumn id="8" name="fecha_recepcion"/>
    <x:tableColumn id="9" name="kg_reales"/>
    <x:tableColumn id="10" name="estado"/>
    <x:tableColumn id="11" name="soporte_url"/>
    <x:tableColumn id="12" name="usuario_cierre"/>
    <x:tableColumn id="13" name="observaciones"/>
    <x:tableColumn id="14" name="correction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tLiquidacionesTable" displayName="PetLiquidacionesTable" ref="A4:N204" headerRowCount="1" totalsRowCount="0" totalsRowShown="0">
  <x:tableColumns count="14">
    <x:tableColumn id="1" name="liquidacion_id"/>
    <x:tableColumn id="2" name="lote_id"/>
    <x:tableColumn id="3" name="fecha_liquidacion"/>
    <x:tableColumn id="4" name="kg_reales"/>
    <x:tableColumn id="5" name="cop_pagados"/>
    <x:tableColumn id="6" name="precio_real_cop_kg"/>
    <x:tableColumn id="7" name="trm_cop_usd"/>
    <x:tableColumn id="8" name="usd_referencia"/>
    <x:tableColumn id="9" name="referencia_pago"/>
    <x:tableColumn id="10" name="fecha_conciliacion"/>
    <x:tableColumn id="11" name="estado"/>
    <x:tableColumn id="12" name="soporte_url"/>
    <x:tableColumn id="13" name="usuario_registro"/>
    <x:tableColumn id="14" name="correction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chaResultadosTable" displayName="RachaResultadosTable" ref="A4:P204" headerRowCount="1" totalsRowCount="0" totalsRowShown="0">
  <x:tableColumns count="16">
    <x:tableColumn id="1" name="racha_result_id"/>
    <x:tableColumn id="2" name="player_id"/>
    <x:tableColumn id="3" name="club_id"/>
    <x:tableColumn id="4" name="periodo_inicio"/>
    <x:tableColumn id="5" name="periodo_fin"/>
    <x:tableColumn id="6" name="asistencia_pct"/>
    <x:tableColumn id="7" name="neurocracks_pct"/>
    <x:tableColumn id="8" name="retos_pct"/>
    <x:tableColumn id="9" name="pet_pct"/>
    <x:tableColumn id="10" name="validaciones_pct"/>
    <x:tableColumn id="11" name="score_racha"/>
    <x:tableColumn id="12" name="verified_week"/>
    <x:tableColumn id="13" name="regla_version"/>
    <x:tableColumn id="14" name="calculado_at"/>
    <x:tableColumn id="15" name="correction_id"/>
    <x:tableColumn id="16" name="observacio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ackCoinsLedgerTable" displayName="CrackCoinsLedgerTable" ref="A4:P404" headerRowCount="1" totalsRowCount="0" totalsRowShown="0">
  <x:tableColumns count="16">
    <x:tableColumn id="1" name="tx_id"/>
    <x:tableColumn id="2" name="fecha"/>
    <x:tableColumn id="3" name="player_id"/>
    <x:tableColumn id="4" name="club_id"/>
    <x:tableColumn id="5" name="source_type"/>
    <x:tableColumn id="6" name="source_id"/>
    <x:tableColumn id="7" name="source_metric"/>
    <x:tableColumn id="8" name="source_value"/>
    <x:tableColumn id="9" name="rule_id"/>
    <x:tableColumn id="10" name="rule_version"/>
    <x:tableColumn id="11" name="coin_delta"/>
    <x:tableColumn id="12" name="status"/>
    <x:tableColumn id="13" name="reversal_of_tx_id"/>
    <x:tableColumn id="14" name="correction_id"/>
    <x:tableColumn id="15" name="created_by"/>
    <x:tableColumn id="16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reccionesTable" displayName="CorreccionesTable" ref="A4:N204" headerRowCount="1" totalsRowCount="0" totalsRowShown="0">
  <x:tableColumns count="14">
    <x:tableColumn id="1" name="correction_id"/>
    <x:tableColumn id="2" name="requested_at"/>
    <x:tableColumn id="3" name="requested_by"/>
    <x:tableColumn id="4" name="entity_type"/>
    <x:tableColumn id="5" name="record_id"/>
    <x:tableColumn id="6" name="field_name"/>
    <x:tableColumn id="7" name="original_value"/>
    <x:tableColumn id="8" name="requested_value"/>
    <x:tableColumn id="9" name="reason"/>
    <x:tableColumn id="10" name="status"/>
    <x:tableColumn id="11" name="approved_by"/>
    <x:tableColumn id="12" name="approved_at"/>
    <x:tableColumn id="13" name="applied_record_i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a9b6ebbcad346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9f44b30572b41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998bc5f815e4b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14cf2e200a44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7c350402c37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e8ab2c1889a434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4" t="str">
        <x:v>11 CRACKS · Estructura Excel para PET, Racha y Crack Coins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Plantilla operativa/importable. No contiene datos ficticios. Las reglas todavía no definidas se dejan explícitamente pendientes.</x:v>
      </x:c>
      <x:c r="B2" s="11"/>
      <x:c r="C2" s="11"/>
      <x:c r="D2" s="11"/>
      <x:c r="E2" s="11"/>
      <x:c r="F2" s="11"/>
      <x:c r="G2" s="11"/>
      <x:c r="H2" s="11"/>
    </x:row>
    <x:row r="4" ht="28" customHeight="1">
      <x:c r="A4" s="20" t="str">
        <x:v>PRINCIPIO</x:v>
      </x:c>
      <x:c r="B4" s="20" t="str">
        <x:v>DECISIÓN PARA LA PLATAFORMA</x:v>
      </x:c>
    </x:row>
    <x:row r="5">
      <x:c r="A5" s="34" t="str">
        <x:v>PET · estimado vs validado</x:v>
      </x:c>
      <x:c r="B5" s="35" t="str">
        <x:v>Botellas y kg estimados sirven para operación/planeación. Kg reales y COP reales solo existen cuando hay pesaje y liquidación documentada de compactadora.</x:v>
      </x:c>
    </x:row>
    <x:row r="6">
      <x:c r="A6" s="34" t="str">
        <x:v>PET · dinero</x:v>
      </x:c>
      <x:c r="B6" s="35" t="str">
        <x:v>El dinero de la venta PET corresponde a 11 Cracks. En vista de club debe mostrarse como “Valor PET generado” / “Aporte PET valorizado”, no como saldo retirable.</x:v>
      </x:c>
    </x:row>
    <x:row r="7">
      <x:c r="A7" s="34" t="str">
        <x:v>Crack Coins</x:v>
      </x:c>
      <x:c r="B7" s="35" t="str">
        <x:v>Según la definición operativa compartida, nacen de PET y del resultado de las rachas. ESTE ARCHIVO NO INVENTA la tasa de conversión PET→CC ni Racha→CC: esas reglas quedan vacías hasta aprobación.</x:v>
      </x:c>
    </x:row>
    <x:row r="8">
      <x:c r="A8" s="34" t="str">
        <x:v>Correcciones</x:v>
      </x:c>
      <x:c r="B8" s="35" t="str">
        <x:v>No borrar ni sobrescribir silenciosamente movimientos históricos. La hoja 07_CORRECCIONES registra solicitud, aprobación y aplicación. En Crack Coins se recomienda corregir mediante reverso + movimiento reemplazo.</x:v>
      </x:c>
    </x:row>
    <x:row r="9">
      <x:c r="A9" s="34" t="str">
        <x:v>Racha</x:v>
      </x:c>
      <x:c r="B9" s="35" t="str">
        <x:v>La racha premia constancia verificable. Los pesos 35/25/15/15/10 están en CONFIG y son editables; no se considera definitivo ningún umbral de “Verified Week” que no esté expresamente aprobado.</x:v>
      </x:c>
    </x:row>
    <x:row r="10">
      <x:c r="A10" s="34" t="str">
        <x:v>Importación</x:v>
      </x:c>
      <x:c r="B10" s="35" t="str">
        <x:v>Las hojas 02–07 están pensadas como estructura de carga/intercambio. IDs deben venir de la plataforma o del proceso operativo; no se autogeneran para evitar colisiones.</x:v>
      </x:c>
    </x:row>
    <x:row r="11">
      <x:c r="A11" s="36" t="str">
        <x:v>Fuente principal</x:v>
      </x:c>
      <x:c r="B11" s="37" t="str">
        <x:v>11_CRACKS_VALIDACION_VICTOR_PET_RACHA_ECONOMIA_v1_2 · Agosto 2026 (fuente de verdad de producto para este flujo).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72" hidden="0" customWidth="1"/>
  </x:cols>
  <x:sheetData>
    <x:row r="1" ht="30" customHeight="1">
      <x:c r="A1" s="4" t="str">
        <x:v>Configuración y reglas editables</x:v>
      </x:c>
      <x:c r="B1" s="4"/>
      <x:c r="C1" s="4"/>
      <x:c r="D1" s="4"/>
      <x:c r="E1" s="4"/>
      <x:c r="F1" s="4"/>
    </x:row>
    <x:row r="2" ht="34" customHeight="1">
      <x:c r="A2" s="11" t="str">
        <x:v>Valores fuente o parámetros. Las filas PENDIENTE no deben activarse en backend hasta ser aprobadas.</x:v>
      </x:c>
      <x:c r="B2" s="11"/>
      <x:c r="C2" s="11"/>
      <x:c r="D2" s="11"/>
      <x:c r="E2" s="11"/>
      <x:c r="F2" s="11"/>
    </x:row>
    <x:row r="4" ht="28" customHeight="1">
      <x:c r="A4" s="20" t="str">
        <x:v>clave</x:v>
      </x:c>
      <x:c r="B4" s="20" t="str">
        <x:v>valor</x:v>
      </x:c>
      <x:c r="C4" s="20" t="str">
        <x:v>unidad</x:v>
      </x:c>
      <x:c r="D4" s="20" t="str">
        <x:v>estado</x:v>
      </x:c>
      <x:c r="E4" s="20" t="str">
        <x:v>editable_admin</x:v>
      </x:c>
      <x:c r="F4" s="20" t="str">
        <x:v>fuente / nota</x:v>
      </x:c>
    </x:row>
    <x:row r="5">
      <x:c r="A5" s="34" t="str">
        <x:v>PET_PESO_REF_BOTELLA_G</x:v>
      </x:c>
      <x:c r="B5" s="34" t="n">
        <x:v>18</x:v>
      </x:c>
      <x:c r="C5" s="34" t="str">
        <x:v>g/botella</x:v>
      </x:c>
      <x:c r="D5" s="34" t="str">
        <x:v>ESTIMADO</x:v>
      </x:c>
      <x:c r="E5" s="34" t="str">
        <x:v>SI</x:v>
      </x:c>
      <x:c r="F5" s="35" t="str">
        <x:v>Referencia provisional del documento; el kg real siempre lo valida compactadora.</x:v>
      </x:c>
    </x:row>
    <x:row r="6">
      <x:c r="A6" s="34" t="str">
        <x:v>RACHA_PESO_ASISTENCIA</x:v>
      </x:c>
      <x:c r="B6" s="50" t="n">
        <x:v>0.35</x:v>
      </x:c>
      <x:c r="C6" s="34" t="str">
        <x:v>proporción</x:v>
      </x:c>
      <x:c r="D6" s="34" t="str">
        <x:v>CONFIGURABLE</x:v>
      </x:c>
      <x:c r="E6" s="34" t="str">
        <x:v>SI</x:v>
      </x:c>
      <x:c r="F6" s="35" t="str">
        <x:v>Peso inicial documentado.</x:v>
      </x:c>
    </x:row>
    <x:row r="7">
      <x:c r="A7" s="34" t="str">
        <x:v>RACHA_PESO_NEUROCRACKS</x:v>
      </x:c>
      <x:c r="B7" s="50" t="n">
        <x:v>0.25</x:v>
      </x:c>
      <x:c r="C7" s="34" t="str">
        <x:v>proporción</x:v>
      </x:c>
      <x:c r="D7" s="34" t="str">
        <x:v>CONFIGURABLE</x:v>
      </x:c>
      <x:c r="E7" s="34" t="str">
        <x:v>SI</x:v>
      </x:c>
      <x:c r="F7" s="35" t="str">
        <x:v>Peso inicial documentado.</x:v>
      </x:c>
    </x:row>
    <x:row r="8">
      <x:c r="A8" s="34" t="str">
        <x:v>RACHA_PESO_RETOS</x:v>
      </x:c>
      <x:c r="B8" s="50" t="n">
        <x:v>0.15</x:v>
      </x:c>
      <x:c r="C8" s="34" t="str">
        <x:v>proporción</x:v>
      </x:c>
      <x:c r="D8" s="34" t="str">
        <x:v>CONFIGURABLE</x:v>
      </x:c>
      <x:c r="E8" s="34" t="str">
        <x:v>SI</x:v>
      </x:c>
      <x:c r="F8" s="35" t="str">
        <x:v>Peso inicial documentado.</x:v>
      </x:c>
    </x:row>
    <x:row r="9">
      <x:c r="A9" s="34" t="str">
        <x:v>RACHA_PESO_PET</x:v>
      </x:c>
      <x:c r="B9" s="50" t="n">
        <x:v>0.15</x:v>
      </x:c>
      <x:c r="C9" s="34" t="str">
        <x:v>proporción</x:v>
      </x:c>
      <x:c r="D9" s="34" t="str">
        <x:v>CONFIGURABLE</x:v>
      </x:c>
      <x:c r="E9" s="34" t="str">
        <x:v>SI</x:v>
      </x:c>
      <x:c r="F9" s="35" t="str">
        <x:v>Peso inicial documentado.</x:v>
      </x:c>
    </x:row>
    <x:row r="10">
      <x:c r="A10" s="34" t="str">
        <x:v>RACHA_PESO_VALIDACIONES</x:v>
      </x:c>
      <x:c r="B10" s="50" t="n">
        <x:v>0.1</x:v>
      </x:c>
      <x:c r="C10" s="34" t="str">
        <x:v>proporción</x:v>
      </x:c>
      <x:c r="D10" s="34" t="str">
        <x:v>CONFIGURABLE</x:v>
      </x:c>
      <x:c r="E10" s="34" t="str">
        <x:v>SI</x:v>
      </x:c>
      <x:c r="F10" s="35" t="str">
        <x:v>Peso inicial documentado.</x:v>
      </x:c>
    </x:row>
    <x:row r="11">
      <x:c r="A11" s="34" t="str">
        <x:v>RACHA_UMBRAL_VERIFIED_WEEK</x:v>
      </x:c>
      <x:c r="B11" s="34"/>
      <x:c r="C11" s="34" t="str">
        <x:v>score</x:v>
      </x:c>
      <x:c r="D11" s="34" t="str">
        <x:v>PENDIENTE_DEFINIR</x:v>
      </x:c>
      <x:c r="E11" s="34" t="str">
        <x:v>SI</x:v>
      </x:c>
      <x:c r="F11" s="35" t="str">
        <x:v>No inventado. Definir si se usará Verified Week como llave de recompensas.</x:v>
      </x:c>
    </x:row>
    <x:row r="12">
      <x:c r="A12" s="188" t="str">
        <x:v>CC_REGLA_PET</x:v>
      </x:c>
      <x:c r="B12" s="188"/>
      <x:c r="C12" s="188" t="str">
        <x:v>regla/tasa</x:v>
      </x:c>
      <x:c r="D12" s="188" t="str">
        <x:v>PENDIENTE_DEFINIR</x:v>
      </x:c>
      <x:c r="E12" s="188" t="str">
        <x:v>SI</x:v>
      </x:c>
      <x:c r="F12" s="189" t="str">
        <x:v>Crack Coins provienen de PET, pero falta definir la conversión exacta.</x:v>
      </x:c>
    </x:row>
    <x:row r="13">
      <x:c r="A13" s="190" t="str">
        <x:v>CC_REGLA_RACHA</x:v>
      </x:c>
      <x:c r="B13" s="190"/>
      <x:c r="C13" s="190" t="str">
        <x:v>regla/tasa</x:v>
      </x:c>
      <x:c r="D13" s="190" t="str">
        <x:v>PENDIENTE_DEFINIR</x:v>
      </x:c>
      <x:c r="E13" s="190" t="str">
        <x:v>SI</x:v>
      </x:c>
      <x:c r="F13" s="191" t="str">
        <x:v>Crack Coins provienen del resultado de rachas, pero falta definir la conversión exacta.</x:v>
      </x:c>
    </x:row>
    <x:row r="15" ht="28" customHeight="1">
      <x:c r="A15" s="20" t="str">
        <x:v>Control</x:v>
      </x:c>
      <x:c r="B15" s="20" t="str">
        <x:v>Resultado</x:v>
      </x:c>
    </x:row>
    <x:row r="16">
      <x:c r="A16" t="str">
        <x:v>Suma pesos Racha</x:v>
      </x:c>
      <x:c r="B16" s="52" t="n">
        <x:f>SUM(B6:B10)</x:f>
        <x:v>1</x:v>
      </x:c>
    </x:row>
  </x:sheetData>
  <x:mergeCells>
    <x:mergeCell ref="A1:F1"/>
    <x:mergeCell ref="A2:F2"/>
  </x:mergeCells>
  <x:conditionalFormatting sqref="B16:B16">
    <x:cfRule type="expression" dxfId="0" priority="1">
      <x:formula>ABS(B16-1)&gt;0.0001</x:formula>
    </x:cfRule>
    <x:cfRule type="expression" dxfId="1" priority="2">
      <x:formula>ABS(B16-1)&lt;=0.0001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5" hidden="0" customWidth="1"/>
    <x:col min="12" max="12" width="42" hidden="0" customWidth="1"/>
    <x:col min="13" max="13" width="22" hidden="0" customWidth="1"/>
  </x:cols>
  <x:sheetData>
    <x:row r="1" ht="30" customHeight="1">
      <x:c r="A1" s="4" t="str">
        <x:v>PET · Aportes / recolección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11" t="str">
        <x:v>Una fila = un registro de botellas asociado a club y, cuando aplique, jugador/sesión.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28" customHeight="1">
      <x:c r="A4" s="20" t="str">
        <x:v>aporte_id</x:v>
      </x:c>
      <x:c r="B4" s="20" t="str">
        <x:v>fecha</x:v>
      </x:c>
      <x:c r="C4" s="20" t="str">
        <x:v>club_id</x:v>
      </x:c>
      <x:c r="D4" s="20" t="str">
        <x:v>player_id</x:v>
      </x:c>
      <x:c r="E4" s="20" t="str">
        <x:v>session_id</x:v>
      </x:c>
      <x:c r="F4" s="20" t="str">
        <x:v>botellas_recolectadas</x:v>
      </x:c>
      <x:c r="G4" s="20" t="str">
        <x:v>responsable_user_id</x:v>
      </x:c>
      <x:c r="H4" s="20" t="str">
        <x:v>lote_id</x:v>
      </x:c>
      <x:c r="I4" s="20" t="str">
        <x:v>estado</x:v>
      </x:c>
      <x:c r="J4" s="20" t="str">
        <x:v>peso_ref_g</x:v>
      </x:c>
      <x:c r="K4" s="20" t="str">
        <x:v>kg_estimados</x:v>
      </x:c>
      <x:c r="L4" s="20" t="str">
        <x:v>observaciones</x:v>
      </x:c>
      <x:c r="M4" s="20" t="str">
        <x:v>correction_id</x:v>
      </x:c>
    </x:row>
    <x:row r="5">
      <x:c r="A5" s="34"/>
      <x:c r="B5" s="78"/>
      <x:c r="C5" s="34"/>
      <x:c r="D5" s="34"/>
      <x:c r="E5" s="34"/>
      <x:c r="F5" s="79"/>
      <x:c r="G5" s="34"/>
      <x:c r="H5" s="34"/>
      <x:c r="I5" s="34"/>
      <x:c r="J5" s="196" t="str">
        <x:f>IF(F5="","",'01_CONFIG'!$B$5)</x:f>
      </x:c>
      <x:c r="K5" s="200" t="str">
        <x:f>IF(OR(F5="",J5=""),"",F5*J5/1000)</x:f>
      </x:c>
      <x:c r="L5" s="34"/>
      <x:c r="M5" s="35"/>
    </x:row>
    <x:row r="6">
      <x:c r="A6" s="34"/>
      <x:c r="B6" s="78"/>
      <x:c r="C6" s="34"/>
      <x:c r="D6" s="34"/>
      <x:c r="E6" s="34"/>
      <x:c r="F6" s="79"/>
      <x:c r="G6" s="34"/>
      <x:c r="H6" s="34"/>
      <x:c r="I6" s="34"/>
      <x:c r="J6" s="196" t="str">
        <x:f>IF(F6="","",'01_CONFIG'!$B$5)</x:f>
      </x:c>
      <x:c r="K6" s="200" t="str">
        <x:f>IF(OR(F6="",J6=""),"",F6*J6/1000)</x:f>
      </x:c>
      <x:c r="L6" s="34"/>
      <x:c r="M6" s="35"/>
    </x:row>
    <x:row r="7">
      <x:c r="A7" s="34"/>
      <x:c r="B7" s="78"/>
      <x:c r="C7" s="34"/>
      <x:c r="D7" s="34"/>
      <x:c r="E7" s="34"/>
      <x:c r="F7" s="79"/>
      <x:c r="G7" s="34"/>
      <x:c r="H7" s="34"/>
      <x:c r="I7" s="34"/>
      <x:c r="J7" s="196" t="str">
        <x:f>IF(F7="","",'01_CONFIG'!$B$5)</x:f>
      </x:c>
      <x:c r="K7" s="200" t="str">
        <x:f>IF(OR(F7="",J7=""),"",F7*J7/1000)</x:f>
      </x:c>
      <x:c r="L7" s="34"/>
      <x:c r="M7" s="35"/>
    </x:row>
    <x:row r="8">
      <x:c r="A8" s="34"/>
      <x:c r="B8" s="78"/>
      <x:c r="C8" s="34"/>
      <x:c r="D8" s="34"/>
      <x:c r="E8" s="34"/>
      <x:c r="F8" s="79"/>
      <x:c r="G8" s="34"/>
      <x:c r="H8" s="34"/>
      <x:c r="I8" s="34"/>
      <x:c r="J8" s="196" t="str">
        <x:f>IF(F8="","",'01_CONFIG'!$B$5)</x:f>
      </x:c>
      <x:c r="K8" s="200" t="str">
        <x:f>IF(OR(F8="",J8=""),"",F8*J8/1000)</x:f>
      </x:c>
      <x:c r="L8" s="34"/>
      <x:c r="M8" s="35"/>
    </x:row>
    <x:row r="9">
      <x:c r="A9" s="34"/>
      <x:c r="B9" s="78"/>
      <x:c r="C9" s="34"/>
      <x:c r="D9" s="34"/>
      <x:c r="E9" s="34"/>
      <x:c r="F9" s="79"/>
      <x:c r="G9" s="34"/>
      <x:c r="H9" s="34"/>
      <x:c r="I9" s="34"/>
      <x:c r="J9" s="196" t="str">
        <x:f>IF(F9="","",'01_CONFIG'!$B$5)</x:f>
      </x:c>
      <x:c r="K9" s="200" t="str">
        <x:f>IF(OR(F9="",J9=""),"",F9*J9/1000)</x:f>
      </x:c>
      <x:c r="L9" s="34"/>
      <x:c r="M9" s="35"/>
    </x:row>
    <x:row r="10">
      <x:c r="A10" s="34"/>
      <x:c r="B10" s="78"/>
      <x:c r="C10" s="34"/>
      <x:c r="D10" s="34"/>
      <x:c r="E10" s="34"/>
      <x:c r="F10" s="79"/>
      <x:c r="G10" s="34"/>
      <x:c r="H10" s="34"/>
      <x:c r="I10" s="34"/>
      <x:c r="J10" s="196" t="str">
        <x:f>IF(F10="","",'01_CONFIG'!$B$5)</x:f>
      </x:c>
      <x:c r="K10" s="200" t="str">
        <x:f>IF(OR(F10="",J10=""),"",F10*J10/1000)</x:f>
      </x:c>
      <x:c r="L10" s="34"/>
      <x:c r="M10" s="35"/>
    </x:row>
    <x:row r="11">
      <x:c r="A11" s="34"/>
      <x:c r="B11" s="78"/>
      <x:c r="C11" s="34"/>
      <x:c r="D11" s="34"/>
      <x:c r="E11" s="34"/>
      <x:c r="F11" s="79"/>
      <x:c r="G11" s="34"/>
      <x:c r="H11" s="34"/>
      <x:c r="I11" s="34"/>
      <x:c r="J11" s="196" t="str">
        <x:f>IF(F11="","",'01_CONFIG'!$B$5)</x:f>
      </x:c>
      <x:c r="K11" s="200" t="str">
        <x:f>IF(OR(F11="",J11=""),"",F11*J11/1000)</x:f>
      </x:c>
      <x:c r="L11" s="34"/>
      <x:c r="M11" s="35"/>
    </x:row>
    <x:row r="12">
      <x:c r="A12" s="34"/>
      <x:c r="B12" s="78"/>
      <x:c r="C12" s="34"/>
      <x:c r="D12" s="34"/>
      <x:c r="E12" s="34"/>
      <x:c r="F12" s="79"/>
      <x:c r="G12" s="34"/>
      <x:c r="H12" s="34"/>
      <x:c r="I12" s="34"/>
      <x:c r="J12" s="196" t="str">
        <x:f>IF(F12="","",'01_CONFIG'!$B$5)</x:f>
      </x:c>
      <x:c r="K12" s="200" t="str">
        <x:f>IF(OR(F12="",J12=""),"",F12*J12/1000)</x:f>
      </x:c>
      <x:c r="L12" s="34"/>
      <x:c r="M12" s="35"/>
    </x:row>
    <x:row r="13">
      <x:c r="A13" s="34"/>
      <x:c r="B13" s="78"/>
      <x:c r="C13" s="34"/>
      <x:c r="D13" s="34"/>
      <x:c r="E13" s="34"/>
      <x:c r="F13" s="79"/>
      <x:c r="G13" s="34"/>
      <x:c r="H13" s="34"/>
      <x:c r="I13" s="34"/>
      <x:c r="J13" s="196" t="str">
        <x:f>IF(F13="","",'01_CONFIG'!$B$5)</x:f>
      </x:c>
      <x:c r="K13" s="200" t="str">
        <x:f>IF(OR(F13="",J13=""),"",F13*J13/1000)</x:f>
      </x:c>
      <x:c r="L13" s="34"/>
      <x:c r="M13" s="35"/>
    </x:row>
    <x:row r="14">
      <x:c r="A14" s="34"/>
      <x:c r="B14" s="78"/>
      <x:c r="C14" s="34"/>
      <x:c r="D14" s="34"/>
      <x:c r="E14" s="34"/>
      <x:c r="F14" s="79"/>
      <x:c r="G14" s="34"/>
      <x:c r="H14" s="34"/>
      <x:c r="I14" s="34"/>
      <x:c r="J14" s="196" t="str">
        <x:f>IF(F14="","",'01_CONFIG'!$B$5)</x:f>
      </x:c>
      <x:c r="K14" s="200" t="str">
        <x:f>IF(OR(F14="",J14=""),"",F14*J14/1000)</x:f>
      </x:c>
      <x:c r="L14" s="34"/>
      <x:c r="M14" s="35"/>
    </x:row>
    <x:row r="15">
      <x:c r="A15" s="34"/>
      <x:c r="B15" s="78"/>
      <x:c r="C15" s="34"/>
      <x:c r="D15" s="34"/>
      <x:c r="E15" s="34"/>
      <x:c r="F15" s="79"/>
      <x:c r="G15" s="34"/>
      <x:c r="H15" s="34"/>
      <x:c r="I15" s="34"/>
      <x:c r="J15" s="196" t="str">
        <x:f>IF(F15="","",'01_CONFIG'!$B$5)</x:f>
      </x:c>
      <x:c r="K15" s="200" t="str">
        <x:f>IF(OR(F15="",J15=""),"",F15*J15/1000)</x:f>
      </x:c>
      <x:c r="L15" s="34"/>
      <x:c r="M15" s="35"/>
    </x:row>
    <x:row r="16">
      <x:c r="A16" s="34"/>
      <x:c r="B16" s="78"/>
      <x:c r="C16" s="34"/>
      <x:c r="D16" s="34"/>
      <x:c r="E16" s="34"/>
      <x:c r="F16" s="79"/>
      <x:c r="G16" s="34"/>
      <x:c r="H16" s="34"/>
      <x:c r="I16" s="34"/>
      <x:c r="J16" s="196" t="str">
        <x:f>IF(F16="","",'01_CONFIG'!$B$5)</x:f>
      </x:c>
      <x:c r="K16" s="200" t="str">
        <x:f>IF(OR(F16="",J16=""),"",F16*J16/1000)</x:f>
      </x:c>
      <x:c r="L16" s="34"/>
      <x:c r="M16" s="35"/>
    </x:row>
    <x:row r="17">
      <x:c r="A17" s="34"/>
      <x:c r="B17" s="78"/>
      <x:c r="C17" s="34"/>
      <x:c r="D17" s="34"/>
      <x:c r="E17" s="34"/>
      <x:c r="F17" s="79"/>
      <x:c r="G17" s="34"/>
      <x:c r="H17" s="34"/>
      <x:c r="I17" s="34"/>
      <x:c r="J17" s="196" t="str">
        <x:f>IF(F17="","",'01_CONFIG'!$B$5)</x:f>
      </x:c>
      <x:c r="K17" s="200" t="str">
        <x:f>IF(OR(F17="",J17=""),"",F17*J17/1000)</x:f>
      </x:c>
      <x:c r="L17" s="34"/>
      <x:c r="M17" s="35"/>
    </x:row>
    <x:row r="18">
      <x:c r="A18" s="34"/>
      <x:c r="B18" s="78"/>
      <x:c r="C18" s="34"/>
      <x:c r="D18" s="34"/>
      <x:c r="E18" s="34"/>
      <x:c r="F18" s="79"/>
      <x:c r="G18" s="34"/>
      <x:c r="H18" s="34"/>
      <x:c r="I18" s="34"/>
      <x:c r="J18" s="196" t="str">
        <x:f>IF(F18="","",'01_CONFIG'!$B$5)</x:f>
      </x:c>
      <x:c r="K18" s="200" t="str">
        <x:f>IF(OR(F18="",J18=""),"",F18*J18/1000)</x:f>
      </x:c>
      <x:c r="L18" s="34"/>
      <x:c r="M18" s="35"/>
    </x:row>
    <x:row r="19">
      <x:c r="A19" s="34"/>
      <x:c r="B19" s="78"/>
      <x:c r="C19" s="34"/>
      <x:c r="D19" s="34"/>
      <x:c r="E19" s="34"/>
      <x:c r="F19" s="79"/>
      <x:c r="G19" s="34"/>
      <x:c r="H19" s="34"/>
      <x:c r="I19" s="34"/>
      <x:c r="J19" s="196" t="str">
        <x:f>IF(F19="","",'01_CONFIG'!$B$5)</x:f>
      </x:c>
      <x:c r="K19" s="200" t="str">
        <x:f>IF(OR(F19="",J19=""),"",F19*J19/1000)</x:f>
      </x:c>
      <x:c r="L19" s="34"/>
      <x:c r="M19" s="35"/>
    </x:row>
    <x:row r="20">
      <x:c r="A20" s="34"/>
      <x:c r="B20" s="78"/>
      <x:c r="C20" s="34"/>
      <x:c r="D20" s="34"/>
      <x:c r="E20" s="34"/>
      <x:c r="F20" s="79"/>
      <x:c r="G20" s="34"/>
      <x:c r="H20" s="34"/>
      <x:c r="I20" s="34"/>
      <x:c r="J20" s="196" t="str">
        <x:f>IF(F20="","",'01_CONFIG'!$B$5)</x:f>
      </x:c>
      <x:c r="K20" s="200" t="str">
        <x:f>IF(OR(F20="",J20=""),"",F20*J20/1000)</x:f>
      </x:c>
      <x:c r="L20" s="34"/>
      <x:c r="M20" s="35"/>
    </x:row>
    <x:row r="21">
      <x:c r="A21" s="34"/>
      <x:c r="B21" s="78"/>
      <x:c r="C21" s="34"/>
      <x:c r="D21" s="34"/>
      <x:c r="E21" s="34"/>
      <x:c r="F21" s="79"/>
      <x:c r="G21" s="34"/>
      <x:c r="H21" s="34"/>
      <x:c r="I21" s="34"/>
      <x:c r="J21" s="196" t="str">
        <x:f>IF(F21="","",'01_CONFIG'!$B$5)</x:f>
      </x:c>
      <x:c r="K21" s="200" t="str">
        <x:f>IF(OR(F21="",J21=""),"",F21*J21/1000)</x:f>
      </x:c>
      <x:c r="L21" s="34"/>
      <x:c r="M21" s="35"/>
    </x:row>
    <x:row r="22">
      <x:c r="A22" s="34"/>
      <x:c r="B22" s="78"/>
      <x:c r="C22" s="34"/>
      <x:c r="D22" s="34"/>
      <x:c r="E22" s="34"/>
      <x:c r="F22" s="79"/>
      <x:c r="G22" s="34"/>
      <x:c r="H22" s="34"/>
      <x:c r="I22" s="34"/>
      <x:c r="J22" s="196" t="str">
        <x:f>IF(F22="","",'01_CONFIG'!$B$5)</x:f>
      </x:c>
      <x:c r="K22" s="200" t="str">
        <x:f>IF(OR(F22="",J22=""),"",F22*J22/1000)</x:f>
      </x:c>
      <x:c r="L22" s="34"/>
      <x:c r="M22" s="35"/>
    </x:row>
    <x:row r="23">
      <x:c r="A23" s="34"/>
      <x:c r="B23" s="78"/>
      <x:c r="C23" s="34"/>
      <x:c r="D23" s="34"/>
      <x:c r="E23" s="34"/>
      <x:c r="F23" s="79"/>
      <x:c r="G23" s="34"/>
      <x:c r="H23" s="34"/>
      <x:c r="I23" s="34"/>
      <x:c r="J23" s="196" t="str">
        <x:f>IF(F23="","",'01_CONFIG'!$B$5)</x:f>
      </x:c>
      <x:c r="K23" s="200" t="str">
        <x:f>IF(OR(F23="",J23=""),"",F23*J23/1000)</x:f>
      </x:c>
      <x:c r="L23" s="34"/>
      <x:c r="M23" s="35"/>
    </x:row>
    <x:row r="24">
      <x:c r="A24" s="34"/>
      <x:c r="B24" s="78"/>
      <x:c r="C24" s="34"/>
      <x:c r="D24" s="34"/>
      <x:c r="E24" s="34"/>
      <x:c r="F24" s="79"/>
      <x:c r="G24" s="34"/>
      <x:c r="H24" s="34"/>
      <x:c r="I24" s="34"/>
      <x:c r="J24" s="196" t="str">
        <x:f>IF(F24="","",'01_CONFIG'!$B$5)</x:f>
      </x:c>
      <x:c r="K24" s="200" t="str">
        <x:f>IF(OR(F24="",J24=""),"",F24*J24/1000)</x:f>
      </x:c>
      <x:c r="L24" s="34"/>
      <x:c r="M24" s="35"/>
    </x:row>
    <x:row r="25">
      <x:c r="A25" s="34"/>
      <x:c r="B25" s="78"/>
      <x:c r="C25" s="34"/>
      <x:c r="D25" s="34"/>
      <x:c r="E25" s="34"/>
      <x:c r="F25" s="79"/>
      <x:c r="G25" s="34"/>
      <x:c r="H25" s="34"/>
      <x:c r="I25" s="34"/>
      <x:c r="J25" s="196" t="str">
        <x:f>IF(F25="","",'01_CONFIG'!$B$5)</x:f>
      </x:c>
      <x:c r="K25" s="200" t="str">
        <x:f>IF(OR(F25="",J25=""),"",F25*J25/1000)</x:f>
      </x:c>
      <x:c r="L25" s="34"/>
      <x:c r="M25" s="35"/>
    </x:row>
    <x:row r="26">
      <x:c r="A26" s="34"/>
      <x:c r="B26" s="78"/>
      <x:c r="C26" s="34"/>
      <x:c r="D26" s="34"/>
      <x:c r="E26" s="34"/>
      <x:c r="F26" s="79"/>
      <x:c r="G26" s="34"/>
      <x:c r="H26" s="34"/>
      <x:c r="I26" s="34"/>
      <x:c r="J26" s="196" t="str">
        <x:f>IF(F26="","",'01_CONFIG'!$B$5)</x:f>
      </x:c>
      <x:c r="K26" s="200" t="str">
        <x:f>IF(OR(F26="",J26=""),"",F26*J26/1000)</x:f>
      </x:c>
      <x:c r="L26" s="34"/>
      <x:c r="M26" s="35"/>
    </x:row>
    <x:row r="27">
      <x:c r="A27" s="34"/>
      <x:c r="B27" s="78"/>
      <x:c r="C27" s="34"/>
      <x:c r="D27" s="34"/>
      <x:c r="E27" s="34"/>
      <x:c r="F27" s="79"/>
      <x:c r="G27" s="34"/>
      <x:c r="H27" s="34"/>
      <x:c r="I27" s="34"/>
      <x:c r="J27" s="196" t="str">
        <x:f>IF(F27="","",'01_CONFIG'!$B$5)</x:f>
      </x:c>
      <x:c r="K27" s="200" t="str">
        <x:f>IF(OR(F27="",J27=""),"",F27*J27/1000)</x:f>
      </x:c>
      <x:c r="L27" s="34"/>
      <x:c r="M27" s="35"/>
    </x:row>
    <x:row r="28">
      <x:c r="A28" s="34"/>
      <x:c r="B28" s="78"/>
      <x:c r="C28" s="34"/>
      <x:c r="D28" s="34"/>
      <x:c r="E28" s="34"/>
      <x:c r="F28" s="79"/>
      <x:c r="G28" s="34"/>
      <x:c r="H28" s="34"/>
      <x:c r="I28" s="34"/>
      <x:c r="J28" s="196" t="str">
        <x:f>IF(F28="","",'01_CONFIG'!$B$5)</x:f>
      </x:c>
      <x:c r="K28" s="200" t="str">
        <x:f>IF(OR(F28="",J28=""),"",F28*J28/1000)</x:f>
      </x:c>
      <x:c r="L28" s="34"/>
      <x:c r="M28" s="35"/>
    </x:row>
    <x:row r="29">
      <x:c r="A29" s="34"/>
      <x:c r="B29" s="78"/>
      <x:c r="C29" s="34"/>
      <x:c r="D29" s="34"/>
      <x:c r="E29" s="34"/>
      <x:c r="F29" s="79"/>
      <x:c r="G29" s="34"/>
      <x:c r="H29" s="34"/>
      <x:c r="I29" s="34"/>
      <x:c r="J29" s="196" t="str">
        <x:f>IF(F29="","",'01_CONFIG'!$B$5)</x:f>
      </x:c>
      <x:c r="K29" s="200" t="str">
        <x:f>IF(OR(F29="",J29=""),"",F29*J29/1000)</x:f>
      </x:c>
      <x:c r="L29" s="34"/>
      <x:c r="M29" s="35"/>
    </x:row>
    <x:row r="30">
      <x:c r="A30" s="34"/>
      <x:c r="B30" s="78"/>
      <x:c r="C30" s="34"/>
      <x:c r="D30" s="34"/>
      <x:c r="E30" s="34"/>
      <x:c r="F30" s="79"/>
      <x:c r="G30" s="34"/>
      <x:c r="H30" s="34"/>
      <x:c r="I30" s="34"/>
      <x:c r="J30" s="196" t="str">
        <x:f>IF(F30="","",'01_CONFIG'!$B$5)</x:f>
      </x:c>
      <x:c r="K30" s="200" t="str">
        <x:f>IF(OR(F30="",J30=""),"",F30*J30/1000)</x:f>
      </x:c>
      <x:c r="L30" s="34"/>
      <x:c r="M30" s="35"/>
    </x:row>
    <x:row r="31">
      <x:c r="A31" s="34"/>
      <x:c r="B31" s="78"/>
      <x:c r="C31" s="34"/>
      <x:c r="D31" s="34"/>
      <x:c r="E31" s="34"/>
      <x:c r="F31" s="79"/>
      <x:c r="G31" s="34"/>
      <x:c r="H31" s="34"/>
      <x:c r="I31" s="34"/>
      <x:c r="J31" s="196" t="str">
        <x:f>IF(F31="","",'01_CONFIG'!$B$5)</x:f>
      </x:c>
      <x:c r="K31" s="200" t="str">
        <x:f>IF(OR(F31="",J31=""),"",F31*J31/1000)</x:f>
      </x:c>
      <x:c r="L31" s="34"/>
      <x:c r="M31" s="35"/>
    </x:row>
    <x:row r="32">
      <x:c r="A32" s="34"/>
      <x:c r="B32" s="78"/>
      <x:c r="C32" s="34"/>
      <x:c r="D32" s="34"/>
      <x:c r="E32" s="34"/>
      <x:c r="F32" s="79"/>
      <x:c r="G32" s="34"/>
      <x:c r="H32" s="34"/>
      <x:c r="I32" s="34"/>
      <x:c r="J32" s="196" t="str">
        <x:f>IF(F32="","",'01_CONFIG'!$B$5)</x:f>
      </x:c>
      <x:c r="K32" s="200" t="str">
        <x:f>IF(OR(F32="",J32=""),"",F32*J32/1000)</x:f>
      </x:c>
      <x:c r="L32" s="34"/>
      <x:c r="M32" s="35"/>
    </x:row>
    <x:row r="33">
      <x:c r="A33" s="34"/>
      <x:c r="B33" s="78"/>
      <x:c r="C33" s="34"/>
      <x:c r="D33" s="34"/>
      <x:c r="E33" s="34"/>
      <x:c r="F33" s="79"/>
      <x:c r="G33" s="34"/>
      <x:c r="H33" s="34"/>
      <x:c r="I33" s="34"/>
      <x:c r="J33" s="196" t="str">
        <x:f>IF(F33="","",'01_CONFIG'!$B$5)</x:f>
      </x:c>
      <x:c r="K33" s="200" t="str">
        <x:f>IF(OR(F33="",J33=""),"",F33*J33/1000)</x:f>
      </x:c>
      <x:c r="L33" s="34"/>
      <x:c r="M33" s="35"/>
    </x:row>
    <x:row r="34">
      <x:c r="A34" s="34"/>
      <x:c r="B34" s="78"/>
      <x:c r="C34" s="34"/>
      <x:c r="D34" s="34"/>
      <x:c r="E34" s="34"/>
      <x:c r="F34" s="79"/>
      <x:c r="G34" s="34"/>
      <x:c r="H34" s="34"/>
      <x:c r="I34" s="34"/>
      <x:c r="J34" s="196" t="str">
        <x:f>IF(F34="","",'01_CONFIG'!$B$5)</x:f>
      </x:c>
      <x:c r="K34" s="200" t="str">
        <x:f>IF(OR(F34="",J34=""),"",F34*J34/1000)</x:f>
      </x:c>
      <x:c r="L34" s="34"/>
      <x:c r="M34" s="35"/>
    </x:row>
    <x:row r="35">
      <x:c r="A35" s="34"/>
      <x:c r="B35" s="78"/>
      <x:c r="C35" s="34"/>
      <x:c r="D35" s="34"/>
      <x:c r="E35" s="34"/>
      <x:c r="F35" s="79"/>
      <x:c r="G35" s="34"/>
      <x:c r="H35" s="34"/>
      <x:c r="I35" s="34"/>
      <x:c r="J35" s="196" t="str">
        <x:f>IF(F35="","",'01_CONFIG'!$B$5)</x:f>
      </x:c>
      <x:c r="K35" s="200" t="str">
        <x:f>IF(OR(F35="",J35=""),"",F35*J35/1000)</x:f>
      </x:c>
      <x:c r="L35" s="34"/>
      <x:c r="M35" s="35"/>
    </x:row>
    <x:row r="36">
      <x:c r="A36" s="34"/>
      <x:c r="B36" s="78"/>
      <x:c r="C36" s="34"/>
      <x:c r="D36" s="34"/>
      <x:c r="E36" s="34"/>
      <x:c r="F36" s="79"/>
      <x:c r="G36" s="34"/>
      <x:c r="H36" s="34"/>
      <x:c r="I36" s="34"/>
      <x:c r="J36" s="196" t="str">
        <x:f>IF(F36="","",'01_CONFIG'!$B$5)</x:f>
      </x:c>
      <x:c r="K36" s="200" t="str">
        <x:f>IF(OR(F36="",J36=""),"",F36*J36/1000)</x:f>
      </x:c>
      <x:c r="L36" s="34"/>
      <x:c r="M36" s="35"/>
    </x:row>
    <x:row r="37">
      <x:c r="A37" s="34"/>
      <x:c r="B37" s="78"/>
      <x:c r="C37" s="34"/>
      <x:c r="D37" s="34"/>
      <x:c r="E37" s="34"/>
      <x:c r="F37" s="79"/>
      <x:c r="G37" s="34"/>
      <x:c r="H37" s="34"/>
      <x:c r="I37" s="34"/>
      <x:c r="J37" s="196" t="str">
        <x:f>IF(F37="","",'01_CONFIG'!$B$5)</x:f>
      </x:c>
      <x:c r="K37" s="200" t="str">
        <x:f>IF(OR(F37="",J37=""),"",F37*J37/1000)</x:f>
      </x:c>
      <x:c r="L37" s="34"/>
      <x:c r="M37" s="35"/>
    </x:row>
    <x:row r="38">
      <x:c r="A38" s="34"/>
      <x:c r="B38" s="78"/>
      <x:c r="C38" s="34"/>
      <x:c r="D38" s="34"/>
      <x:c r="E38" s="34"/>
      <x:c r="F38" s="79"/>
      <x:c r="G38" s="34"/>
      <x:c r="H38" s="34"/>
      <x:c r="I38" s="34"/>
      <x:c r="J38" s="196" t="str">
        <x:f>IF(F38="","",'01_CONFIG'!$B$5)</x:f>
      </x:c>
      <x:c r="K38" s="200" t="str">
        <x:f>IF(OR(F38="",J38=""),"",F38*J38/1000)</x:f>
      </x:c>
      <x:c r="L38" s="34"/>
      <x:c r="M38" s="35"/>
    </x:row>
    <x:row r="39">
      <x:c r="A39" s="34"/>
      <x:c r="B39" s="78"/>
      <x:c r="C39" s="34"/>
      <x:c r="D39" s="34"/>
      <x:c r="E39" s="34"/>
      <x:c r="F39" s="79"/>
      <x:c r="G39" s="34"/>
      <x:c r="H39" s="34"/>
      <x:c r="I39" s="34"/>
      <x:c r="J39" s="196" t="str">
        <x:f>IF(F39="","",'01_CONFIG'!$B$5)</x:f>
      </x:c>
      <x:c r="K39" s="200" t="str">
        <x:f>IF(OR(F39="",J39=""),"",F39*J39/1000)</x:f>
      </x:c>
      <x:c r="L39" s="34"/>
      <x:c r="M39" s="35"/>
    </x:row>
    <x:row r="40">
      <x:c r="A40" s="34"/>
      <x:c r="B40" s="78"/>
      <x:c r="C40" s="34"/>
      <x:c r="D40" s="34"/>
      <x:c r="E40" s="34"/>
      <x:c r="F40" s="79"/>
      <x:c r="G40" s="34"/>
      <x:c r="H40" s="34"/>
      <x:c r="I40" s="34"/>
      <x:c r="J40" s="196" t="str">
        <x:f>IF(F40="","",'01_CONFIG'!$B$5)</x:f>
      </x:c>
      <x:c r="K40" s="200" t="str">
        <x:f>IF(OR(F40="",J40=""),"",F40*J40/1000)</x:f>
      </x:c>
      <x:c r="L40" s="34"/>
      <x:c r="M40" s="35"/>
    </x:row>
    <x:row r="41">
      <x:c r="A41" s="34"/>
      <x:c r="B41" s="78"/>
      <x:c r="C41" s="34"/>
      <x:c r="D41" s="34"/>
      <x:c r="E41" s="34"/>
      <x:c r="F41" s="79"/>
      <x:c r="G41" s="34"/>
      <x:c r="H41" s="34"/>
      <x:c r="I41" s="34"/>
      <x:c r="J41" s="196" t="str">
        <x:f>IF(F41="","",'01_CONFIG'!$B$5)</x:f>
      </x:c>
      <x:c r="K41" s="200" t="str">
        <x:f>IF(OR(F41="",J41=""),"",F41*J41/1000)</x:f>
      </x:c>
      <x:c r="L41" s="34"/>
      <x:c r="M41" s="35"/>
    </x:row>
    <x:row r="42">
      <x:c r="A42" s="34"/>
      <x:c r="B42" s="78"/>
      <x:c r="C42" s="34"/>
      <x:c r="D42" s="34"/>
      <x:c r="E42" s="34"/>
      <x:c r="F42" s="79"/>
      <x:c r="G42" s="34"/>
      <x:c r="H42" s="34"/>
      <x:c r="I42" s="34"/>
      <x:c r="J42" s="196" t="str">
        <x:f>IF(F42="","",'01_CONFIG'!$B$5)</x:f>
      </x:c>
      <x:c r="K42" s="200" t="str">
        <x:f>IF(OR(F42="",J42=""),"",F42*J42/1000)</x:f>
      </x:c>
      <x:c r="L42" s="34"/>
      <x:c r="M42" s="35"/>
    </x:row>
    <x:row r="43">
      <x:c r="A43" s="34"/>
      <x:c r="B43" s="78"/>
      <x:c r="C43" s="34"/>
      <x:c r="D43" s="34"/>
      <x:c r="E43" s="34"/>
      <x:c r="F43" s="79"/>
      <x:c r="G43" s="34"/>
      <x:c r="H43" s="34"/>
      <x:c r="I43" s="34"/>
      <x:c r="J43" s="196" t="str">
        <x:f>IF(F43="","",'01_CONFIG'!$B$5)</x:f>
      </x:c>
      <x:c r="K43" s="200" t="str">
        <x:f>IF(OR(F43="",J43=""),"",F43*J43/1000)</x:f>
      </x:c>
      <x:c r="L43" s="34"/>
      <x:c r="M43" s="35"/>
    </x:row>
    <x:row r="44">
      <x:c r="A44" s="34"/>
      <x:c r="B44" s="78"/>
      <x:c r="C44" s="34"/>
      <x:c r="D44" s="34"/>
      <x:c r="E44" s="34"/>
      <x:c r="F44" s="79"/>
      <x:c r="G44" s="34"/>
      <x:c r="H44" s="34"/>
      <x:c r="I44" s="34"/>
      <x:c r="J44" s="196" t="str">
        <x:f>IF(F44="","",'01_CONFIG'!$B$5)</x:f>
      </x:c>
      <x:c r="K44" s="200" t="str">
        <x:f>IF(OR(F44="",J44=""),"",F44*J44/1000)</x:f>
      </x:c>
      <x:c r="L44" s="34"/>
      <x:c r="M44" s="35"/>
    </x:row>
    <x:row r="45">
      <x:c r="A45" s="34"/>
      <x:c r="B45" s="78"/>
      <x:c r="C45" s="34"/>
      <x:c r="D45" s="34"/>
      <x:c r="E45" s="34"/>
      <x:c r="F45" s="79"/>
      <x:c r="G45" s="34"/>
      <x:c r="H45" s="34"/>
      <x:c r="I45" s="34"/>
      <x:c r="J45" s="196" t="str">
        <x:f>IF(F45="","",'01_CONFIG'!$B$5)</x:f>
      </x:c>
      <x:c r="K45" s="200" t="str">
        <x:f>IF(OR(F45="",J45=""),"",F45*J45/1000)</x:f>
      </x:c>
      <x:c r="L45" s="34"/>
      <x:c r="M45" s="35"/>
    </x:row>
    <x:row r="46">
      <x:c r="A46" s="34"/>
      <x:c r="B46" s="78"/>
      <x:c r="C46" s="34"/>
      <x:c r="D46" s="34"/>
      <x:c r="E46" s="34"/>
      <x:c r="F46" s="79"/>
      <x:c r="G46" s="34"/>
      <x:c r="H46" s="34"/>
      <x:c r="I46" s="34"/>
      <x:c r="J46" s="196" t="str">
        <x:f>IF(F46="","",'01_CONFIG'!$B$5)</x:f>
      </x:c>
      <x:c r="K46" s="200" t="str">
        <x:f>IF(OR(F46="",J46=""),"",F46*J46/1000)</x:f>
      </x:c>
      <x:c r="L46" s="34"/>
      <x:c r="M46" s="35"/>
    </x:row>
    <x:row r="47">
      <x:c r="A47" s="34"/>
      <x:c r="B47" s="78"/>
      <x:c r="C47" s="34"/>
      <x:c r="D47" s="34"/>
      <x:c r="E47" s="34"/>
      <x:c r="F47" s="79"/>
      <x:c r="G47" s="34"/>
      <x:c r="H47" s="34"/>
      <x:c r="I47" s="34"/>
      <x:c r="J47" s="196" t="str">
        <x:f>IF(F47="","",'01_CONFIG'!$B$5)</x:f>
      </x:c>
      <x:c r="K47" s="200" t="str">
        <x:f>IF(OR(F47="",J47=""),"",F47*J47/1000)</x:f>
      </x:c>
      <x:c r="L47" s="34"/>
      <x:c r="M47" s="35"/>
    </x:row>
    <x:row r="48">
      <x:c r="A48" s="34"/>
      <x:c r="B48" s="78"/>
      <x:c r="C48" s="34"/>
      <x:c r="D48" s="34"/>
      <x:c r="E48" s="34"/>
      <x:c r="F48" s="79"/>
      <x:c r="G48" s="34"/>
      <x:c r="H48" s="34"/>
      <x:c r="I48" s="34"/>
      <x:c r="J48" s="196" t="str">
        <x:f>IF(F48="","",'01_CONFIG'!$B$5)</x:f>
      </x:c>
      <x:c r="K48" s="200" t="str">
        <x:f>IF(OR(F48="",J48=""),"",F48*J48/1000)</x:f>
      </x:c>
      <x:c r="L48" s="34"/>
      <x:c r="M48" s="35"/>
    </x:row>
    <x:row r="49">
      <x:c r="A49" s="34"/>
      <x:c r="B49" s="78"/>
      <x:c r="C49" s="34"/>
      <x:c r="D49" s="34"/>
      <x:c r="E49" s="34"/>
      <x:c r="F49" s="79"/>
      <x:c r="G49" s="34"/>
      <x:c r="H49" s="34"/>
      <x:c r="I49" s="34"/>
      <x:c r="J49" s="196" t="str">
        <x:f>IF(F49="","",'01_CONFIG'!$B$5)</x:f>
      </x:c>
      <x:c r="K49" s="200" t="str">
        <x:f>IF(OR(F49="",J49=""),"",F49*J49/1000)</x:f>
      </x:c>
      <x:c r="L49" s="34"/>
      <x:c r="M49" s="35"/>
    </x:row>
    <x:row r="50">
      <x:c r="A50" s="34"/>
      <x:c r="B50" s="78"/>
      <x:c r="C50" s="34"/>
      <x:c r="D50" s="34"/>
      <x:c r="E50" s="34"/>
      <x:c r="F50" s="79"/>
      <x:c r="G50" s="34"/>
      <x:c r="H50" s="34"/>
      <x:c r="I50" s="34"/>
      <x:c r="J50" s="196" t="str">
        <x:f>IF(F50="","",'01_CONFIG'!$B$5)</x:f>
      </x:c>
      <x:c r="K50" s="200" t="str">
        <x:f>IF(OR(F50="",J50=""),"",F50*J50/1000)</x:f>
      </x:c>
      <x:c r="L50" s="34"/>
      <x:c r="M50" s="35"/>
    </x:row>
    <x:row r="51">
      <x:c r="A51" s="34"/>
      <x:c r="B51" s="78"/>
      <x:c r="C51" s="34"/>
      <x:c r="D51" s="34"/>
      <x:c r="E51" s="34"/>
      <x:c r="F51" s="79"/>
      <x:c r="G51" s="34"/>
      <x:c r="H51" s="34"/>
      <x:c r="I51" s="34"/>
      <x:c r="J51" s="196" t="str">
        <x:f>IF(F51="","",'01_CONFIG'!$B$5)</x:f>
      </x:c>
      <x:c r="K51" s="200" t="str">
        <x:f>IF(OR(F51="",J51=""),"",F51*J51/1000)</x:f>
      </x:c>
      <x:c r="L51" s="34"/>
      <x:c r="M51" s="35"/>
    </x:row>
    <x:row r="52">
      <x:c r="A52" s="34"/>
      <x:c r="B52" s="78"/>
      <x:c r="C52" s="34"/>
      <x:c r="D52" s="34"/>
      <x:c r="E52" s="34"/>
      <x:c r="F52" s="79"/>
      <x:c r="G52" s="34"/>
      <x:c r="H52" s="34"/>
      <x:c r="I52" s="34"/>
      <x:c r="J52" s="196" t="str">
        <x:f>IF(F52="","",'01_CONFIG'!$B$5)</x:f>
      </x:c>
      <x:c r="K52" s="200" t="str">
        <x:f>IF(OR(F52="",J52=""),"",F52*J52/1000)</x:f>
      </x:c>
      <x:c r="L52" s="34"/>
      <x:c r="M52" s="35"/>
    </x:row>
    <x:row r="53">
      <x:c r="A53" s="34"/>
      <x:c r="B53" s="78"/>
      <x:c r="C53" s="34"/>
      <x:c r="D53" s="34"/>
      <x:c r="E53" s="34"/>
      <x:c r="F53" s="79"/>
      <x:c r="G53" s="34"/>
      <x:c r="H53" s="34"/>
      <x:c r="I53" s="34"/>
      <x:c r="J53" s="196" t="str">
        <x:f>IF(F53="","",'01_CONFIG'!$B$5)</x:f>
      </x:c>
      <x:c r="K53" s="200" t="str">
        <x:f>IF(OR(F53="",J53=""),"",F53*J53/1000)</x:f>
      </x:c>
      <x:c r="L53" s="34"/>
      <x:c r="M53" s="35"/>
    </x:row>
    <x:row r="54">
      <x:c r="A54" s="34"/>
      <x:c r="B54" s="78"/>
      <x:c r="C54" s="34"/>
      <x:c r="D54" s="34"/>
      <x:c r="E54" s="34"/>
      <x:c r="F54" s="79"/>
      <x:c r="G54" s="34"/>
      <x:c r="H54" s="34"/>
      <x:c r="I54" s="34"/>
      <x:c r="J54" s="196" t="str">
        <x:f>IF(F54="","",'01_CONFIG'!$B$5)</x:f>
      </x:c>
      <x:c r="K54" s="200" t="str">
        <x:f>IF(OR(F54="",J54=""),"",F54*J54/1000)</x:f>
      </x:c>
      <x:c r="L54" s="34"/>
      <x:c r="M54" s="35"/>
    </x:row>
    <x:row r="55">
      <x:c r="A55" s="34"/>
      <x:c r="B55" s="78"/>
      <x:c r="C55" s="34"/>
      <x:c r="D55" s="34"/>
      <x:c r="E55" s="34"/>
      <x:c r="F55" s="79"/>
      <x:c r="G55" s="34"/>
      <x:c r="H55" s="34"/>
      <x:c r="I55" s="34"/>
      <x:c r="J55" s="196" t="str">
        <x:f>IF(F55="","",'01_CONFIG'!$B$5)</x:f>
      </x:c>
      <x:c r="K55" s="200" t="str">
        <x:f>IF(OR(F55="",J55=""),"",F55*J55/1000)</x:f>
      </x:c>
      <x:c r="L55" s="34"/>
      <x:c r="M55" s="35"/>
    </x:row>
    <x:row r="56">
      <x:c r="A56" s="34"/>
      <x:c r="B56" s="78"/>
      <x:c r="C56" s="34"/>
      <x:c r="D56" s="34"/>
      <x:c r="E56" s="34"/>
      <x:c r="F56" s="79"/>
      <x:c r="G56" s="34"/>
      <x:c r="H56" s="34"/>
      <x:c r="I56" s="34"/>
      <x:c r="J56" s="196" t="str">
        <x:f>IF(F56="","",'01_CONFIG'!$B$5)</x:f>
      </x:c>
      <x:c r="K56" s="200" t="str">
        <x:f>IF(OR(F56="",J56=""),"",F56*J56/1000)</x:f>
      </x:c>
      <x:c r="L56" s="34"/>
      <x:c r="M56" s="35"/>
    </x:row>
    <x:row r="57">
      <x:c r="A57" s="34"/>
      <x:c r="B57" s="78"/>
      <x:c r="C57" s="34"/>
      <x:c r="D57" s="34"/>
      <x:c r="E57" s="34"/>
      <x:c r="F57" s="79"/>
      <x:c r="G57" s="34"/>
      <x:c r="H57" s="34"/>
      <x:c r="I57" s="34"/>
      <x:c r="J57" s="196" t="str">
        <x:f>IF(F57="","",'01_CONFIG'!$B$5)</x:f>
      </x:c>
      <x:c r="K57" s="200" t="str">
        <x:f>IF(OR(F57="",J57=""),"",F57*J57/1000)</x:f>
      </x:c>
      <x:c r="L57" s="34"/>
      <x:c r="M57" s="35"/>
    </x:row>
    <x:row r="58">
      <x:c r="A58" s="34"/>
      <x:c r="B58" s="78"/>
      <x:c r="C58" s="34"/>
      <x:c r="D58" s="34"/>
      <x:c r="E58" s="34"/>
      <x:c r="F58" s="79"/>
      <x:c r="G58" s="34"/>
      <x:c r="H58" s="34"/>
      <x:c r="I58" s="34"/>
      <x:c r="J58" s="196" t="str">
        <x:f>IF(F58="","",'01_CONFIG'!$B$5)</x:f>
      </x:c>
      <x:c r="K58" s="200" t="str">
        <x:f>IF(OR(F58="",J58=""),"",F58*J58/1000)</x:f>
      </x:c>
      <x:c r="L58" s="34"/>
      <x:c r="M58" s="35"/>
    </x:row>
    <x:row r="59">
      <x:c r="A59" s="34"/>
      <x:c r="B59" s="78"/>
      <x:c r="C59" s="34"/>
      <x:c r="D59" s="34"/>
      <x:c r="E59" s="34"/>
      <x:c r="F59" s="79"/>
      <x:c r="G59" s="34"/>
      <x:c r="H59" s="34"/>
      <x:c r="I59" s="34"/>
      <x:c r="J59" s="196" t="str">
        <x:f>IF(F59="","",'01_CONFIG'!$B$5)</x:f>
      </x:c>
      <x:c r="K59" s="200" t="str">
        <x:f>IF(OR(F59="",J59=""),"",F59*J59/1000)</x:f>
      </x:c>
      <x:c r="L59" s="34"/>
      <x:c r="M59" s="35"/>
    </x:row>
    <x:row r="60">
      <x:c r="A60" s="34"/>
      <x:c r="B60" s="78"/>
      <x:c r="C60" s="34"/>
      <x:c r="D60" s="34"/>
      <x:c r="E60" s="34"/>
      <x:c r="F60" s="79"/>
      <x:c r="G60" s="34"/>
      <x:c r="H60" s="34"/>
      <x:c r="I60" s="34"/>
      <x:c r="J60" s="196" t="str">
        <x:f>IF(F60="","",'01_CONFIG'!$B$5)</x:f>
      </x:c>
      <x:c r="K60" s="200" t="str">
        <x:f>IF(OR(F60="",J60=""),"",F60*J60/1000)</x:f>
      </x:c>
      <x:c r="L60" s="34"/>
      <x:c r="M60" s="35"/>
    </x:row>
    <x:row r="61">
      <x:c r="A61" s="34"/>
      <x:c r="B61" s="78"/>
      <x:c r="C61" s="34"/>
      <x:c r="D61" s="34"/>
      <x:c r="E61" s="34"/>
      <x:c r="F61" s="79"/>
      <x:c r="G61" s="34"/>
      <x:c r="H61" s="34"/>
      <x:c r="I61" s="34"/>
      <x:c r="J61" s="196" t="str">
        <x:f>IF(F61="","",'01_CONFIG'!$B$5)</x:f>
      </x:c>
      <x:c r="K61" s="200" t="str">
        <x:f>IF(OR(F61="",J61=""),"",F61*J61/1000)</x:f>
      </x:c>
      <x:c r="L61" s="34"/>
      <x:c r="M61" s="35"/>
    </x:row>
    <x:row r="62">
      <x:c r="A62" s="34"/>
      <x:c r="B62" s="78"/>
      <x:c r="C62" s="34"/>
      <x:c r="D62" s="34"/>
      <x:c r="E62" s="34"/>
      <x:c r="F62" s="79"/>
      <x:c r="G62" s="34"/>
      <x:c r="H62" s="34"/>
      <x:c r="I62" s="34"/>
      <x:c r="J62" s="196" t="str">
        <x:f>IF(F62="","",'01_CONFIG'!$B$5)</x:f>
      </x:c>
      <x:c r="K62" s="200" t="str">
        <x:f>IF(OR(F62="",J62=""),"",F62*J62/1000)</x:f>
      </x:c>
      <x:c r="L62" s="34"/>
      <x:c r="M62" s="35"/>
    </x:row>
    <x:row r="63">
      <x:c r="A63" s="34"/>
      <x:c r="B63" s="78"/>
      <x:c r="C63" s="34"/>
      <x:c r="D63" s="34"/>
      <x:c r="E63" s="34"/>
      <x:c r="F63" s="79"/>
      <x:c r="G63" s="34"/>
      <x:c r="H63" s="34"/>
      <x:c r="I63" s="34"/>
      <x:c r="J63" s="196" t="str">
        <x:f>IF(F63="","",'01_CONFIG'!$B$5)</x:f>
      </x:c>
      <x:c r="K63" s="200" t="str">
        <x:f>IF(OR(F63="",J63=""),"",F63*J63/1000)</x:f>
      </x:c>
      <x:c r="L63" s="34"/>
      <x:c r="M63" s="35"/>
    </x:row>
    <x:row r="64">
      <x:c r="A64" s="34"/>
      <x:c r="B64" s="78"/>
      <x:c r="C64" s="34"/>
      <x:c r="D64" s="34"/>
      <x:c r="E64" s="34"/>
      <x:c r="F64" s="79"/>
      <x:c r="G64" s="34"/>
      <x:c r="H64" s="34"/>
      <x:c r="I64" s="34"/>
      <x:c r="J64" s="196" t="str">
        <x:f>IF(F64="","",'01_CONFIG'!$B$5)</x:f>
      </x:c>
      <x:c r="K64" s="200" t="str">
        <x:f>IF(OR(F64="",J64=""),"",F64*J64/1000)</x:f>
      </x:c>
      <x:c r="L64" s="34"/>
      <x:c r="M64" s="35"/>
    </x:row>
    <x:row r="65">
      <x:c r="A65" s="34"/>
      <x:c r="B65" s="78"/>
      <x:c r="C65" s="34"/>
      <x:c r="D65" s="34"/>
      <x:c r="E65" s="34"/>
      <x:c r="F65" s="79"/>
      <x:c r="G65" s="34"/>
      <x:c r="H65" s="34"/>
      <x:c r="I65" s="34"/>
      <x:c r="J65" s="196" t="str">
        <x:f>IF(F65="","",'01_CONFIG'!$B$5)</x:f>
      </x:c>
      <x:c r="K65" s="200" t="str">
        <x:f>IF(OR(F65="",J65=""),"",F65*J65/1000)</x:f>
      </x:c>
      <x:c r="L65" s="34"/>
      <x:c r="M65" s="35"/>
    </x:row>
    <x:row r="66">
      <x:c r="A66" s="34"/>
      <x:c r="B66" s="78"/>
      <x:c r="C66" s="34"/>
      <x:c r="D66" s="34"/>
      <x:c r="E66" s="34"/>
      <x:c r="F66" s="79"/>
      <x:c r="G66" s="34"/>
      <x:c r="H66" s="34"/>
      <x:c r="I66" s="34"/>
      <x:c r="J66" s="196" t="str">
        <x:f>IF(F66="","",'01_CONFIG'!$B$5)</x:f>
      </x:c>
      <x:c r="K66" s="200" t="str">
        <x:f>IF(OR(F66="",J66=""),"",F66*J66/1000)</x:f>
      </x:c>
      <x:c r="L66" s="34"/>
      <x:c r="M66" s="35"/>
    </x:row>
    <x:row r="67">
      <x:c r="A67" s="34"/>
      <x:c r="B67" s="78"/>
      <x:c r="C67" s="34"/>
      <x:c r="D67" s="34"/>
      <x:c r="E67" s="34"/>
      <x:c r="F67" s="79"/>
      <x:c r="G67" s="34"/>
      <x:c r="H67" s="34"/>
      <x:c r="I67" s="34"/>
      <x:c r="J67" s="196" t="str">
        <x:f>IF(F67="","",'01_CONFIG'!$B$5)</x:f>
      </x:c>
      <x:c r="K67" s="200" t="str">
        <x:f>IF(OR(F67="",J67=""),"",F67*J67/1000)</x:f>
      </x:c>
      <x:c r="L67" s="34"/>
      <x:c r="M67" s="35"/>
    </x:row>
    <x:row r="68">
      <x:c r="A68" s="34"/>
      <x:c r="B68" s="78"/>
      <x:c r="C68" s="34"/>
      <x:c r="D68" s="34"/>
      <x:c r="E68" s="34"/>
      <x:c r="F68" s="79"/>
      <x:c r="G68" s="34"/>
      <x:c r="H68" s="34"/>
      <x:c r="I68" s="34"/>
      <x:c r="J68" s="196" t="str">
        <x:f>IF(F68="","",'01_CONFIG'!$B$5)</x:f>
      </x:c>
      <x:c r="K68" s="200" t="str">
        <x:f>IF(OR(F68="",J68=""),"",F68*J68/1000)</x:f>
      </x:c>
      <x:c r="L68" s="34"/>
      <x:c r="M68" s="35"/>
    </x:row>
    <x:row r="69">
      <x:c r="A69" s="34"/>
      <x:c r="B69" s="78"/>
      <x:c r="C69" s="34"/>
      <x:c r="D69" s="34"/>
      <x:c r="E69" s="34"/>
      <x:c r="F69" s="79"/>
      <x:c r="G69" s="34"/>
      <x:c r="H69" s="34"/>
      <x:c r="I69" s="34"/>
      <x:c r="J69" s="196" t="str">
        <x:f>IF(F69="","",'01_CONFIG'!$B$5)</x:f>
      </x:c>
      <x:c r="K69" s="200" t="str">
        <x:f>IF(OR(F69="",J69=""),"",F69*J69/1000)</x:f>
      </x:c>
      <x:c r="L69" s="34"/>
      <x:c r="M69" s="35"/>
    </x:row>
    <x:row r="70">
      <x:c r="A70" s="34"/>
      <x:c r="B70" s="78"/>
      <x:c r="C70" s="34"/>
      <x:c r="D70" s="34"/>
      <x:c r="E70" s="34"/>
      <x:c r="F70" s="79"/>
      <x:c r="G70" s="34"/>
      <x:c r="H70" s="34"/>
      <x:c r="I70" s="34"/>
      <x:c r="J70" s="196" t="str">
        <x:f>IF(F70="","",'01_CONFIG'!$B$5)</x:f>
      </x:c>
      <x:c r="K70" s="200" t="str">
        <x:f>IF(OR(F70="",J70=""),"",F70*J70/1000)</x:f>
      </x:c>
      <x:c r="L70" s="34"/>
      <x:c r="M70" s="35"/>
    </x:row>
    <x:row r="71">
      <x:c r="A71" s="34"/>
      <x:c r="B71" s="78"/>
      <x:c r="C71" s="34"/>
      <x:c r="D71" s="34"/>
      <x:c r="E71" s="34"/>
      <x:c r="F71" s="79"/>
      <x:c r="G71" s="34"/>
      <x:c r="H71" s="34"/>
      <x:c r="I71" s="34"/>
      <x:c r="J71" s="196" t="str">
        <x:f>IF(F71="","",'01_CONFIG'!$B$5)</x:f>
      </x:c>
      <x:c r="K71" s="200" t="str">
        <x:f>IF(OR(F71="",J71=""),"",F71*J71/1000)</x:f>
      </x:c>
      <x:c r="L71" s="34"/>
      <x:c r="M71" s="35"/>
    </x:row>
    <x:row r="72">
      <x:c r="A72" s="34"/>
      <x:c r="B72" s="78"/>
      <x:c r="C72" s="34"/>
      <x:c r="D72" s="34"/>
      <x:c r="E72" s="34"/>
      <x:c r="F72" s="79"/>
      <x:c r="G72" s="34"/>
      <x:c r="H72" s="34"/>
      <x:c r="I72" s="34"/>
      <x:c r="J72" s="196" t="str">
        <x:f>IF(F72="","",'01_CONFIG'!$B$5)</x:f>
      </x:c>
      <x:c r="K72" s="200" t="str">
        <x:f>IF(OR(F72="",J72=""),"",F72*J72/1000)</x:f>
      </x:c>
      <x:c r="L72" s="34"/>
      <x:c r="M72" s="35"/>
    </x:row>
    <x:row r="73">
      <x:c r="A73" s="34"/>
      <x:c r="B73" s="78"/>
      <x:c r="C73" s="34"/>
      <x:c r="D73" s="34"/>
      <x:c r="E73" s="34"/>
      <x:c r="F73" s="79"/>
      <x:c r="G73" s="34"/>
      <x:c r="H73" s="34"/>
      <x:c r="I73" s="34"/>
      <x:c r="J73" s="196" t="str">
        <x:f>IF(F73="","",'01_CONFIG'!$B$5)</x:f>
      </x:c>
      <x:c r="K73" s="200" t="str">
        <x:f>IF(OR(F73="",J73=""),"",F73*J73/1000)</x:f>
      </x:c>
      <x:c r="L73" s="34"/>
      <x:c r="M73" s="35"/>
    </x:row>
    <x:row r="74">
      <x:c r="A74" s="34"/>
      <x:c r="B74" s="78"/>
      <x:c r="C74" s="34"/>
      <x:c r="D74" s="34"/>
      <x:c r="E74" s="34"/>
      <x:c r="F74" s="79"/>
      <x:c r="G74" s="34"/>
      <x:c r="H74" s="34"/>
      <x:c r="I74" s="34"/>
      <x:c r="J74" s="196" t="str">
        <x:f>IF(F74="","",'01_CONFIG'!$B$5)</x:f>
      </x:c>
      <x:c r="K74" s="200" t="str">
        <x:f>IF(OR(F74="",J74=""),"",F74*J74/1000)</x:f>
      </x:c>
      <x:c r="L74" s="34"/>
      <x:c r="M74" s="35"/>
    </x:row>
    <x:row r="75">
      <x:c r="A75" s="34"/>
      <x:c r="B75" s="78"/>
      <x:c r="C75" s="34"/>
      <x:c r="D75" s="34"/>
      <x:c r="E75" s="34"/>
      <x:c r="F75" s="79"/>
      <x:c r="G75" s="34"/>
      <x:c r="H75" s="34"/>
      <x:c r="I75" s="34"/>
      <x:c r="J75" s="196" t="str">
        <x:f>IF(F75="","",'01_CONFIG'!$B$5)</x:f>
      </x:c>
      <x:c r="K75" s="200" t="str">
        <x:f>IF(OR(F75="",J75=""),"",F75*J75/1000)</x:f>
      </x:c>
      <x:c r="L75" s="34"/>
      <x:c r="M75" s="35"/>
    </x:row>
    <x:row r="76">
      <x:c r="A76" s="34"/>
      <x:c r="B76" s="78"/>
      <x:c r="C76" s="34"/>
      <x:c r="D76" s="34"/>
      <x:c r="E76" s="34"/>
      <x:c r="F76" s="79"/>
      <x:c r="G76" s="34"/>
      <x:c r="H76" s="34"/>
      <x:c r="I76" s="34"/>
      <x:c r="J76" s="196" t="str">
        <x:f>IF(F76="","",'01_CONFIG'!$B$5)</x:f>
      </x:c>
      <x:c r="K76" s="200" t="str">
        <x:f>IF(OR(F76="",J76=""),"",F76*J76/1000)</x:f>
      </x:c>
      <x:c r="L76" s="34"/>
      <x:c r="M76" s="35"/>
    </x:row>
    <x:row r="77">
      <x:c r="A77" s="34"/>
      <x:c r="B77" s="78"/>
      <x:c r="C77" s="34"/>
      <x:c r="D77" s="34"/>
      <x:c r="E77" s="34"/>
      <x:c r="F77" s="79"/>
      <x:c r="G77" s="34"/>
      <x:c r="H77" s="34"/>
      <x:c r="I77" s="34"/>
      <x:c r="J77" s="196" t="str">
        <x:f>IF(F77="","",'01_CONFIG'!$B$5)</x:f>
      </x:c>
      <x:c r="K77" s="200" t="str">
        <x:f>IF(OR(F77="",J77=""),"",F77*J77/1000)</x:f>
      </x:c>
      <x:c r="L77" s="34"/>
      <x:c r="M77" s="35"/>
    </x:row>
    <x:row r="78">
      <x:c r="A78" s="34"/>
      <x:c r="B78" s="78"/>
      <x:c r="C78" s="34"/>
      <x:c r="D78" s="34"/>
      <x:c r="E78" s="34"/>
      <x:c r="F78" s="79"/>
      <x:c r="G78" s="34"/>
      <x:c r="H78" s="34"/>
      <x:c r="I78" s="34"/>
      <x:c r="J78" s="196" t="str">
        <x:f>IF(F78="","",'01_CONFIG'!$B$5)</x:f>
      </x:c>
      <x:c r="K78" s="200" t="str">
        <x:f>IF(OR(F78="",J78=""),"",F78*J78/1000)</x:f>
      </x:c>
      <x:c r="L78" s="34"/>
      <x:c r="M78" s="35"/>
    </x:row>
    <x:row r="79">
      <x:c r="A79" s="34"/>
      <x:c r="B79" s="78"/>
      <x:c r="C79" s="34"/>
      <x:c r="D79" s="34"/>
      <x:c r="E79" s="34"/>
      <x:c r="F79" s="79"/>
      <x:c r="G79" s="34"/>
      <x:c r="H79" s="34"/>
      <x:c r="I79" s="34"/>
      <x:c r="J79" s="196" t="str">
        <x:f>IF(F79="","",'01_CONFIG'!$B$5)</x:f>
      </x:c>
      <x:c r="K79" s="200" t="str">
        <x:f>IF(OR(F79="",J79=""),"",F79*J79/1000)</x:f>
      </x:c>
      <x:c r="L79" s="34"/>
      <x:c r="M79" s="35"/>
    </x:row>
    <x:row r="80">
      <x:c r="A80" s="34"/>
      <x:c r="B80" s="78"/>
      <x:c r="C80" s="34"/>
      <x:c r="D80" s="34"/>
      <x:c r="E80" s="34"/>
      <x:c r="F80" s="79"/>
      <x:c r="G80" s="34"/>
      <x:c r="H80" s="34"/>
      <x:c r="I80" s="34"/>
      <x:c r="J80" s="196" t="str">
        <x:f>IF(F80="","",'01_CONFIG'!$B$5)</x:f>
      </x:c>
      <x:c r="K80" s="200" t="str">
        <x:f>IF(OR(F80="",J80=""),"",F80*J80/1000)</x:f>
      </x:c>
      <x:c r="L80" s="34"/>
      <x:c r="M80" s="35"/>
    </x:row>
    <x:row r="81">
      <x:c r="A81" s="34"/>
      <x:c r="B81" s="78"/>
      <x:c r="C81" s="34"/>
      <x:c r="D81" s="34"/>
      <x:c r="E81" s="34"/>
      <x:c r="F81" s="79"/>
      <x:c r="G81" s="34"/>
      <x:c r="H81" s="34"/>
      <x:c r="I81" s="34"/>
      <x:c r="J81" s="196" t="str">
        <x:f>IF(F81="","",'01_CONFIG'!$B$5)</x:f>
      </x:c>
      <x:c r="K81" s="200" t="str">
        <x:f>IF(OR(F81="",J81=""),"",F81*J81/1000)</x:f>
      </x:c>
      <x:c r="L81" s="34"/>
      <x:c r="M81" s="35"/>
    </x:row>
    <x:row r="82">
      <x:c r="A82" s="34"/>
      <x:c r="B82" s="78"/>
      <x:c r="C82" s="34"/>
      <x:c r="D82" s="34"/>
      <x:c r="E82" s="34"/>
      <x:c r="F82" s="79"/>
      <x:c r="G82" s="34"/>
      <x:c r="H82" s="34"/>
      <x:c r="I82" s="34"/>
      <x:c r="J82" s="196" t="str">
        <x:f>IF(F82="","",'01_CONFIG'!$B$5)</x:f>
      </x:c>
      <x:c r="K82" s="200" t="str">
        <x:f>IF(OR(F82="",J82=""),"",F82*J82/1000)</x:f>
      </x:c>
      <x:c r="L82" s="34"/>
      <x:c r="M82" s="35"/>
    </x:row>
    <x:row r="83">
      <x:c r="A83" s="34"/>
      <x:c r="B83" s="78"/>
      <x:c r="C83" s="34"/>
      <x:c r="D83" s="34"/>
      <x:c r="E83" s="34"/>
      <x:c r="F83" s="79"/>
      <x:c r="G83" s="34"/>
      <x:c r="H83" s="34"/>
      <x:c r="I83" s="34"/>
      <x:c r="J83" s="196" t="str">
        <x:f>IF(F83="","",'01_CONFIG'!$B$5)</x:f>
      </x:c>
      <x:c r="K83" s="200" t="str">
        <x:f>IF(OR(F83="",J83=""),"",F83*J83/1000)</x:f>
      </x:c>
      <x:c r="L83" s="34"/>
      <x:c r="M83" s="35"/>
    </x:row>
    <x:row r="84">
      <x:c r="A84" s="34"/>
      <x:c r="B84" s="78"/>
      <x:c r="C84" s="34"/>
      <x:c r="D84" s="34"/>
      <x:c r="E84" s="34"/>
      <x:c r="F84" s="79"/>
      <x:c r="G84" s="34"/>
      <x:c r="H84" s="34"/>
      <x:c r="I84" s="34"/>
      <x:c r="J84" s="196" t="str">
        <x:f>IF(F84="","",'01_CONFIG'!$B$5)</x:f>
      </x:c>
      <x:c r="K84" s="200" t="str">
        <x:f>IF(OR(F84="",J84=""),"",F84*J84/1000)</x:f>
      </x:c>
      <x:c r="L84" s="34"/>
      <x:c r="M84" s="35"/>
    </x:row>
    <x:row r="85">
      <x:c r="A85" s="34"/>
      <x:c r="B85" s="78"/>
      <x:c r="C85" s="34"/>
      <x:c r="D85" s="34"/>
      <x:c r="E85" s="34"/>
      <x:c r="F85" s="79"/>
      <x:c r="G85" s="34"/>
      <x:c r="H85" s="34"/>
      <x:c r="I85" s="34"/>
      <x:c r="J85" s="196" t="str">
        <x:f>IF(F85="","",'01_CONFIG'!$B$5)</x:f>
      </x:c>
      <x:c r="K85" s="200" t="str">
        <x:f>IF(OR(F85="",J85=""),"",F85*J85/1000)</x:f>
      </x:c>
      <x:c r="L85" s="34"/>
      <x:c r="M85" s="35"/>
    </x:row>
    <x:row r="86">
      <x:c r="A86" s="34"/>
      <x:c r="B86" s="78"/>
      <x:c r="C86" s="34"/>
      <x:c r="D86" s="34"/>
      <x:c r="E86" s="34"/>
      <x:c r="F86" s="79"/>
      <x:c r="G86" s="34"/>
      <x:c r="H86" s="34"/>
      <x:c r="I86" s="34"/>
      <x:c r="J86" s="196" t="str">
        <x:f>IF(F86="","",'01_CONFIG'!$B$5)</x:f>
      </x:c>
      <x:c r="K86" s="200" t="str">
        <x:f>IF(OR(F86="",J86=""),"",F86*J86/1000)</x:f>
      </x:c>
      <x:c r="L86" s="34"/>
      <x:c r="M86" s="35"/>
    </x:row>
    <x:row r="87">
      <x:c r="A87" s="34"/>
      <x:c r="B87" s="78"/>
      <x:c r="C87" s="34"/>
      <x:c r="D87" s="34"/>
      <x:c r="E87" s="34"/>
      <x:c r="F87" s="79"/>
      <x:c r="G87" s="34"/>
      <x:c r="H87" s="34"/>
      <x:c r="I87" s="34"/>
      <x:c r="J87" s="196" t="str">
        <x:f>IF(F87="","",'01_CONFIG'!$B$5)</x:f>
      </x:c>
      <x:c r="K87" s="200" t="str">
        <x:f>IF(OR(F87="",J87=""),"",F87*J87/1000)</x:f>
      </x:c>
      <x:c r="L87" s="34"/>
      <x:c r="M87" s="35"/>
    </x:row>
    <x:row r="88">
      <x:c r="A88" s="34"/>
      <x:c r="B88" s="78"/>
      <x:c r="C88" s="34"/>
      <x:c r="D88" s="34"/>
      <x:c r="E88" s="34"/>
      <x:c r="F88" s="79"/>
      <x:c r="G88" s="34"/>
      <x:c r="H88" s="34"/>
      <x:c r="I88" s="34"/>
      <x:c r="J88" s="196" t="str">
        <x:f>IF(F88="","",'01_CONFIG'!$B$5)</x:f>
      </x:c>
      <x:c r="K88" s="200" t="str">
        <x:f>IF(OR(F88="",J88=""),"",F88*J88/1000)</x:f>
      </x:c>
      <x:c r="L88" s="34"/>
      <x:c r="M88" s="35"/>
    </x:row>
    <x:row r="89">
      <x:c r="A89" s="34"/>
      <x:c r="B89" s="78"/>
      <x:c r="C89" s="34"/>
      <x:c r="D89" s="34"/>
      <x:c r="E89" s="34"/>
      <x:c r="F89" s="79"/>
      <x:c r="G89" s="34"/>
      <x:c r="H89" s="34"/>
      <x:c r="I89" s="34"/>
      <x:c r="J89" s="196" t="str">
        <x:f>IF(F89="","",'01_CONFIG'!$B$5)</x:f>
      </x:c>
      <x:c r="K89" s="200" t="str">
        <x:f>IF(OR(F89="",J89=""),"",F89*J89/1000)</x:f>
      </x:c>
      <x:c r="L89" s="34"/>
      <x:c r="M89" s="35"/>
    </x:row>
    <x:row r="90">
      <x:c r="A90" s="34"/>
      <x:c r="B90" s="78"/>
      <x:c r="C90" s="34"/>
      <x:c r="D90" s="34"/>
      <x:c r="E90" s="34"/>
      <x:c r="F90" s="79"/>
      <x:c r="G90" s="34"/>
      <x:c r="H90" s="34"/>
      <x:c r="I90" s="34"/>
      <x:c r="J90" s="196" t="str">
        <x:f>IF(F90="","",'01_CONFIG'!$B$5)</x:f>
      </x:c>
      <x:c r="K90" s="200" t="str">
        <x:f>IF(OR(F90="",J90=""),"",F90*J90/1000)</x:f>
      </x:c>
      <x:c r="L90" s="34"/>
      <x:c r="M90" s="35"/>
    </x:row>
    <x:row r="91">
      <x:c r="A91" s="34"/>
      <x:c r="B91" s="78"/>
      <x:c r="C91" s="34"/>
      <x:c r="D91" s="34"/>
      <x:c r="E91" s="34"/>
      <x:c r="F91" s="79"/>
      <x:c r="G91" s="34"/>
      <x:c r="H91" s="34"/>
      <x:c r="I91" s="34"/>
      <x:c r="J91" s="196" t="str">
        <x:f>IF(F91="","",'01_CONFIG'!$B$5)</x:f>
      </x:c>
      <x:c r="K91" s="200" t="str">
        <x:f>IF(OR(F91="",J91=""),"",F91*J91/1000)</x:f>
      </x:c>
      <x:c r="L91" s="34"/>
      <x:c r="M91" s="35"/>
    </x:row>
    <x:row r="92">
      <x:c r="A92" s="34"/>
      <x:c r="B92" s="78"/>
      <x:c r="C92" s="34"/>
      <x:c r="D92" s="34"/>
      <x:c r="E92" s="34"/>
      <x:c r="F92" s="79"/>
      <x:c r="G92" s="34"/>
      <x:c r="H92" s="34"/>
      <x:c r="I92" s="34"/>
      <x:c r="J92" s="196" t="str">
        <x:f>IF(F92="","",'01_CONFIG'!$B$5)</x:f>
      </x:c>
      <x:c r="K92" s="200" t="str">
        <x:f>IF(OR(F92="",J92=""),"",F92*J92/1000)</x:f>
      </x:c>
      <x:c r="L92" s="34"/>
      <x:c r="M92" s="35"/>
    </x:row>
    <x:row r="93">
      <x:c r="A93" s="34"/>
      <x:c r="B93" s="78"/>
      <x:c r="C93" s="34"/>
      <x:c r="D93" s="34"/>
      <x:c r="E93" s="34"/>
      <x:c r="F93" s="79"/>
      <x:c r="G93" s="34"/>
      <x:c r="H93" s="34"/>
      <x:c r="I93" s="34"/>
      <x:c r="J93" s="196" t="str">
        <x:f>IF(F93="","",'01_CONFIG'!$B$5)</x:f>
      </x:c>
      <x:c r="K93" s="200" t="str">
        <x:f>IF(OR(F93="",J93=""),"",F93*J93/1000)</x:f>
      </x:c>
      <x:c r="L93" s="34"/>
      <x:c r="M93" s="35"/>
    </x:row>
    <x:row r="94">
      <x:c r="A94" s="34"/>
      <x:c r="B94" s="78"/>
      <x:c r="C94" s="34"/>
      <x:c r="D94" s="34"/>
      <x:c r="E94" s="34"/>
      <x:c r="F94" s="79"/>
      <x:c r="G94" s="34"/>
      <x:c r="H94" s="34"/>
      <x:c r="I94" s="34"/>
      <x:c r="J94" s="196" t="str">
        <x:f>IF(F94="","",'01_CONFIG'!$B$5)</x:f>
      </x:c>
      <x:c r="K94" s="200" t="str">
        <x:f>IF(OR(F94="",J94=""),"",F94*J94/1000)</x:f>
      </x:c>
      <x:c r="L94" s="34"/>
      <x:c r="M94" s="35"/>
    </x:row>
    <x:row r="95">
      <x:c r="A95" s="34"/>
      <x:c r="B95" s="78"/>
      <x:c r="C95" s="34"/>
      <x:c r="D95" s="34"/>
      <x:c r="E95" s="34"/>
      <x:c r="F95" s="79"/>
      <x:c r="G95" s="34"/>
      <x:c r="H95" s="34"/>
      <x:c r="I95" s="34"/>
      <x:c r="J95" s="196" t="str">
        <x:f>IF(F95="","",'01_CONFIG'!$B$5)</x:f>
      </x:c>
      <x:c r="K95" s="200" t="str">
        <x:f>IF(OR(F95="",J95=""),"",F95*J95/1000)</x:f>
      </x:c>
      <x:c r="L95" s="34"/>
      <x:c r="M95" s="35"/>
    </x:row>
    <x:row r="96">
      <x:c r="A96" s="34"/>
      <x:c r="B96" s="78"/>
      <x:c r="C96" s="34"/>
      <x:c r="D96" s="34"/>
      <x:c r="E96" s="34"/>
      <x:c r="F96" s="79"/>
      <x:c r="G96" s="34"/>
      <x:c r="H96" s="34"/>
      <x:c r="I96" s="34"/>
      <x:c r="J96" s="196" t="str">
        <x:f>IF(F96="","",'01_CONFIG'!$B$5)</x:f>
      </x:c>
      <x:c r="K96" s="200" t="str">
        <x:f>IF(OR(F96="",J96=""),"",F96*J96/1000)</x:f>
      </x:c>
      <x:c r="L96" s="34"/>
      <x:c r="M96" s="35"/>
    </x:row>
    <x:row r="97">
      <x:c r="A97" s="34"/>
      <x:c r="B97" s="78"/>
      <x:c r="C97" s="34"/>
      <x:c r="D97" s="34"/>
      <x:c r="E97" s="34"/>
      <x:c r="F97" s="79"/>
      <x:c r="G97" s="34"/>
      <x:c r="H97" s="34"/>
      <x:c r="I97" s="34"/>
      <x:c r="J97" s="196" t="str">
        <x:f>IF(F97="","",'01_CONFIG'!$B$5)</x:f>
      </x:c>
      <x:c r="K97" s="200" t="str">
        <x:f>IF(OR(F97="",J97=""),"",F97*J97/1000)</x:f>
      </x:c>
      <x:c r="L97" s="34"/>
      <x:c r="M97" s="35"/>
    </x:row>
    <x:row r="98">
      <x:c r="A98" s="34"/>
      <x:c r="B98" s="78"/>
      <x:c r="C98" s="34"/>
      <x:c r="D98" s="34"/>
      <x:c r="E98" s="34"/>
      <x:c r="F98" s="79"/>
      <x:c r="G98" s="34"/>
      <x:c r="H98" s="34"/>
      <x:c r="I98" s="34"/>
      <x:c r="J98" s="196" t="str">
        <x:f>IF(F98="","",'01_CONFIG'!$B$5)</x:f>
      </x:c>
      <x:c r="K98" s="200" t="str">
        <x:f>IF(OR(F98="",J98=""),"",F98*J98/1000)</x:f>
      </x:c>
      <x:c r="L98" s="34"/>
      <x:c r="M98" s="35"/>
    </x:row>
    <x:row r="99">
      <x:c r="A99" s="34"/>
      <x:c r="B99" s="78"/>
      <x:c r="C99" s="34"/>
      <x:c r="D99" s="34"/>
      <x:c r="E99" s="34"/>
      <x:c r="F99" s="79"/>
      <x:c r="G99" s="34"/>
      <x:c r="H99" s="34"/>
      <x:c r="I99" s="34"/>
      <x:c r="J99" s="196" t="str">
        <x:f>IF(F99="","",'01_CONFIG'!$B$5)</x:f>
      </x:c>
      <x:c r="K99" s="200" t="str">
        <x:f>IF(OR(F99="",J99=""),"",F99*J99/1000)</x:f>
      </x:c>
      <x:c r="L99" s="34"/>
      <x:c r="M99" s="35"/>
    </x:row>
    <x:row r="100">
      <x:c r="A100" s="34"/>
      <x:c r="B100" s="78"/>
      <x:c r="C100" s="34"/>
      <x:c r="D100" s="34"/>
      <x:c r="E100" s="34"/>
      <x:c r="F100" s="79"/>
      <x:c r="G100" s="34"/>
      <x:c r="H100" s="34"/>
      <x:c r="I100" s="34"/>
      <x:c r="J100" s="196" t="str">
        <x:f>IF(F100="","",'01_CONFIG'!$B$5)</x:f>
      </x:c>
      <x:c r="K100" s="200" t="str">
        <x:f>IF(OR(F100="",J100=""),"",F100*J100/1000)</x:f>
      </x:c>
      <x:c r="L100" s="34"/>
      <x:c r="M100" s="35"/>
    </x:row>
    <x:row r="101">
      <x:c r="A101" s="34"/>
      <x:c r="B101" s="78"/>
      <x:c r="C101" s="34"/>
      <x:c r="D101" s="34"/>
      <x:c r="E101" s="34"/>
      <x:c r="F101" s="79"/>
      <x:c r="G101" s="34"/>
      <x:c r="H101" s="34"/>
      <x:c r="I101" s="34"/>
      <x:c r="J101" s="196" t="str">
        <x:f>IF(F101="","",'01_CONFIG'!$B$5)</x:f>
      </x:c>
      <x:c r="K101" s="200" t="str">
        <x:f>IF(OR(F101="",J101=""),"",F101*J101/1000)</x:f>
      </x:c>
      <x:c r="L101" s="34"/>
      <x:c r="M101" s="35"/>
    </x:row>
    <x:row r="102">
      <x:c r="A102" s="34"/>
      <x:c r="B102" s="78"/>
      <x:c r="C102" s="34"/>
      <x:c r="D102" s="34"/>
      <x:c r="E102" s="34"/>
      <x:c r="F102" s="79"/>
      <x:c r="G102" s="34"/>
      <x:c r="H102" s="34"/>
      <x:c r="I102" s="34"/>
      <x:c r="J102" s="196" t="str">
        <x:f>IF(F102="","",'01_CONFIG'!$B$5)</x:f>
      </x:c>
      <x:c r="K102" s="200" t="str">
        <x:f>IF(OR(F102="",J102=""),"",F102*J102/1000)</x:f>
      </x:c>
      <x:c r="L102" s="34"/>
      <x:c r="M102" s="35"/>
    </x:row>
    <x:row r="103">
      <x:c r="A103" s="34"/>
      <x:c r="B103" s="78"/>
      <x:c r="C103" s="34"/>
      <x:c r="D103" s="34"/>
      <x:c r="E103" s="34"/>
      <x:c r="F103" s="79"/>
      <x:c r="G103" s="34"/>
      <x:c r="H103" s="34"/>
      <x:c r="I103" s="34"/>
      <x:c r="J103" s="196" t="str">
        <x:f>IF(F103="","",'01_CONFIG'!$B$5)</x:f>
      </x:c>
      <x:c r="K103" s="200" t="str">
        <x:f>IF(OR(F103="",J103=""),"",F103*J103/1000)</x:f>
      </x:c>
      <x:c r="L103" s="34"/>
      <x:c r="M103" s="35"/>
    </x:row>
    <x:row r="104">
      <x:c r="A104" s="34"/>
      <x:c r="B104" s="78"/>
      <x:c r="C104" s="34"/>
      <x:c r="D104" s="34"/>
      <x:c r="E104" s="34"/>
      <x:c r="F104" s="79"/>
      <x:c r="G104" s="34"/>
      <x:c r="H104" s="34"/>
      <x:c r="I104" s="34"/>
      <x:c r="J104" s="196" t="str">
        <x:f>IF(F104="","",'01_CONFIG'!$B$5)</x:f>
      </x:c>
      <x:c r="K104" s="200" t="str">
        <x:f>IF(OR(F104="",J104=""),"",F104*J104/1000)</x:f>
      </x:c>
      <x:c r="L104" s="34"/>
      <x:c r="M104" s="35"/>
    </x:row>
    <x:row r="105">
      <x:c r="A105" s="34"/>
      <x:c r="B105" s="78"/>
      <x:c r="C105" s="34"/>
      <x:c r="D105" s="34"/>
      <x:c r="E105" s="34"/>
      <x:c r="F105" s="79"/>
      <x:c r="G105" s="34"/>
      <x:c r="H105" s="34"/>
      <x:c r="I105" s="34"/>
      <x:c r="J105" s="196" t="str">
        <x:f>IF(F105="","",'01_CONFIG'!$B$5)</x:f>
      </x:c>
      <x:c r="K105" s="200" t="str">
        <x:f>IF(OR(F105="",J105=""),"",F105*J105/1000)</x:f>
      </x:c>
      <x:c r="L105" s="34"/>
      <x:c r="M105" s="35"/>
    </x:row>
    <x:row r="106">
      <x:c r="A106" s="34"/>
      <x:c r="B106" s="78"/>
      <x:c r="C106" s="34"/>
      <x:c r="D106" s="34"/>
      <x:c r="E106" s="34"/>
      <x:c r="F106" s="79"/>
      <x:c r="G106" s="34"/>
      <x:c r="H106" s="34"/>
      <x:c r="I106" s="34"/>
      <x:c r="J106" s="196" t="str">
        <x:f>IF(F106="","",'01_CONFIG'!$B$5)</x:f>
      </x:c>
      <x:c r="K106" s="200" t="str">
        <x:f>IF(OR(F106="",J106=""),"",F106*J106/1000)</x:f>
      </x:c>
      <x:c r="L106" s="34"/>
      <x:c r="M106" s="35"/>
    </x:row>
    <x:row r="107">
      <x:c r="A107" s="34"/>
      <x:c r="B107" s="78"/>
      <x:c r="C107" s="34"/>
      <x:c r="D107" s="34"/>
      <x:c r="E107" s="34"/>
      <x:c r="F107" s="79"/>
      <x:c r="G107" s="34"/>
      <x:c r="H107" s="34"/>
      <x:c r="I107" s="34"/>
      <x:c r="J107" s="196" t="str">
        <x:f>IF(F107="","",'01_CONFIG'!$B$5)</x:f>
      </x:c>
      <x:c r="K107" s="200" t="str">
        <x:f>IF(OR(F107="",J107=""),"",F107*J107/1000)</x:f>
      </x:c>
      <x:c r="L107" s="34"/>
      <x:c r="M107" s="35"/>
    </x:row>
    <x:row r="108">
      <x:c r="A108" s="34"/>
      <x:c r="B108" s="78"/>
      <x:c r="C108" s="34"/>
      <x:c r="D108" s="34"/>
      <x:c r="E108" s="34"/>
      <x:c r="F108" s="79"/>
      <x:c r="G108" s="34"/>
      <x:c r="H108" s="34"/>
      <x:c r="I108" s="34"/>
      <x:c r="J108" s="196" t="str">
        <x:f>IF(F108="","",'01_CONFIG'!$B$5)</x:f>
      </x:c>
      <x:c r="K108" s="200" t="str">
        <x:f>IF(OR(F108="",J108=""),"",F108*J108/1000)</x:f>
      </x:c>
      <x:c r="L108" s="34"/>
      <x:c r="M108" s="35"/>
    </x:row>
    <x:row r="109">
      <x:c r="A109" s="34"/>
      <x:c r="B109" s="78"/>
      <x:c r="C109" s="34"/>
      <x:c r="D109" s="34"/>
      <x:c r="E109" s="34"/>
      <x:c r="F109" s="79"/>
      <x:c r="G109" s="34"/>
      <x:c r="H109" s="34"/>
      <x:c r="I109" s="34"/>
      <x:c r="J109" s="196" t="str">
        <x:f>IF(F109="","",'01_CONFIG'!$B$5)</x:f>
      </x:c>
      <x:c r="K109" s="200" t="str">
        <x:f>IF(OR(F109="",J109=""),"",F109*J109/1000)</x:f>
      </x:c>
      <x:c r="L109" s="34"/>
      <x:c r="M109" s="35"/>
    </x:row>
    <x:row r="110">
      <x:c r="A110" s="34"/>
      <x:c r="B110" s="78"/>
      <x:c r="C110" s="34"/>
      <x:c r="D110" s="34"/>
      <x:c r="E110" s="34"/>
      <x:c r="F110" s="79"/>
      <x:c r="G110" s="34"/>
      <x:c r="H110" s="34"/>
      <x:c r="I110" s="34"/>
      <x:c r="J110" s="196" t="str">
        <x:f>IF(F110="","",'01_CONFIG'!$B$5)</x:f>
      </x:c>
      <x:c r="K110" s="200" t="str">
        <x:f>IF(OR(F110="",J110=""),"",F110*J110/1000)</x:f>
      </x:c>
      <x:c r="L110" s="34"/>
      <x:c r="M110" s="35"/>
    </x:row>
    <x:row r="111">
      <x:c r="A111" s="34"/>
      <x:c r="B111" s="78"/>
      <x:c r="C111" s="34"/>
      <x:c r="D111" s="34"/>
      <x:c r="E111" s="34"/>
      <x:c r="F111" s="79"/>
      <x:c r="G111" s="34"/>
      <x:c r="H111" s="34"/>
      <x:c r="I111" s="34"/>
      <x:c r="J111" s="196" t="str">
        <x:f>IF(F111="","",'01_CONFIG'!$B$5)</x:f>
      </x:c>
      <x:c r="K111" s="200" t="str">
        <x:f>IF(OR(F111="",J111=""),"",F111*J111/1000)</x:f>
      </x:c>
      <x:c r="L111" s="34"/>
      <x:c r="M111" s="35"/>
    </x:row>
    <x:row r="112">
      <x:c r="A112" s="34"/>
      <x:c r="B112" s="78"/>
      <x:c r="C112" s="34"/>
      <x:c r="D112" s="34"/>
      <x:c r="E112" s="34"/>
      <x:c r="F112" s="79"/>
      <x:c r="G112" s="34"/>
      <x:c r="H112" s="34"/>
      <x:c r="I112" s="34"/>
      <x:c r="J112" s="196" t="str">
        <x:f>IF(F112="","",'01_CONFIG'!$B$5)</x:f>
      </x:c>
      <x:c r="K112" s="200" t="str">
        <x:f>IF(OR(F112="",J112=""),"",F112*J112/1000)</x:f>
      </x:c>
      <x:c r="L112" s="34"/>
      <x:c r="M112" s="35"/>
    </x:row>
    <x:row r="113">
      <x:c r="A113" s="34"/>
      <x:c r="B113" s="78"/>
      <x:c r="C113" s="34"/>
      <x:c r="D113" s="34"/>
      <x:c r="E113" s="34"/>
      <x:c r="F113" s="79"/>
      <x:c r="G113" s="34"/>
      <x:c r="H113" s="34"/>
      <x:c r="I113" s="34"/>
      <x:c r="J113" s="196" t="str">
        <x:f>IF(F113="","",'01_CONFIG'!$B$5)</x:f>
      </x:c>
      <x:c r="K113" s="200" t="str">
        <x:f>IF(OR(F113="",J113=""),"",F113*J113/1000)</x:f>
      </x:c>
      <x:c r="L113" s="34"/>
      <x:c r="M113" s="35"/>
    </x:row>
    <x:row r="114">
      <x:c r="A114" s="34"/>
      <x:c r="B114" s="78"/>
      <x:c r="C114" s="34"/>
      <x:c r="D114" s="34"/>
      <x:c r="E114" s="34"/>
      <x:c r="F114" s="79"/>
      <x:c r="G114" s="34"/>
      <x:c r="H114" s="34"/>
      <x:c r="I114" s="34"/>
      <x:c r="J114" s="196" t="str">
        <x:f>IF(F114="","",'01_CONFIG'!$B$5)</x:f>
      </x:c>
      <x:c r="K114" s="200" t="str">
        <x:f>IF(OR(F114="",J114=""),"",F114*J114/1000)</x:f>
      </x:c>
      <x:c r="L114" s="34"/>
      <x:c r="M114" s="35"/>
    </x:row>
    <x:row r="115">
      <x:c r="A115" s="34"/>
      <x:c r="B115" s="78"/>
      <x:c r="C115" s="34"/>
      <x:c r="D115" s="34"/>
      <x:c r="E115" s="34"/>
      <x:c r="F115" s="79"/>
      <x:c r="G115" s="34"/>
      <x:c r="H115" s="34"/>
      <x:c r="I115" s="34"/>
      <x:c r="J115" s="196" t="str">
        <x:f>IF(F115="","",'01_CONFIG'!$B$5)</x:f>
      </x:c>
      <x:c r="K115" s="200" t="str">
        <x:f>IF(OR(F115="",J115=""),"",F115*J115/1000)</x:f>
      </x:c>
      <x:c r="L115" s="34"/>
      <x:c r="M115" s="35"/>
    </x:row>
    <x:row r="116">
      <x:c r="A116" s="34"/>
      <x:c r="B116" s="78"/>
      <x:c r="C116" s="34"/>
      <x:c r="D116" s="34"/>
      <x:c r="E116" s="34"/>
      <x:c r="F116" s="79"/>
      <x:c r="G116" s="34"/>
      <x:c r="H116" s="34"/>
      <x:c r="I116" s="34"/>
      <x:c r="J116" s="196" t="str">
        <x:f>IF(F116="","",'01_CONFIG'!$B$5)</x:f>
      </x:c>
      <x:c r="K116" s="200" t="str">
        <x:f>IF(OR(F116="",J116=""),"",F116*J116/1000)</x:f>
      </x:c>
      <x:c r="L116" s="34"/>
      <x:c r="M116" s="35"/>
    </x:row>
    <x:row r="117">
      <x:c r="A117" s="34"/>
      <x:c r="B117" s="78"/>
      <x:c r="C117" s="34"/>
      <x:c r="D117" s="34"/>
      <x:c r="E117" s="34"/>
      <x:c r="F117" s="79"/>
      <x:c r="G117" s="34"/>
      <x:c r="H117" s="34"/>
      <x:c r="I117" s="34"/>
      <x:c r="J117" s="196" t="str">
        <x:f>IF(F117="","",'01_CONFIG'!$B$5)</x:f>
      </x:c>
      <x:c r="K117" s="200" t="str">
        <x:f>IF(OR(F117="",J117=""),"",F117*J117/1000)</x:f>
      </x:c>
      <x:c r="L117" s="34"/>
      <x:c r="M117" s="35"/>
    </x:row>
    <x:row r="118">
      <x:c r="A118" s="34"/>
      <x:c r="B118" s="78"/>
      <x:c r="C118" s="34"/>
      <x:c r="D118" s="34"/>
      <x:c r="E118" s="34"/>
      <x:c r="F118" s="79"/>
      <x:c r="G118" s="34"/>
      <x:c r="H118" s="34"/>
      <x:c r="I118" s="34"/>
      <x:c r="J118" s="196" t="str">
        <x:f>IF(F118="","",'01_CONFIG'!$B$5)</x:f>
      </x:c>
      <x:c r="K118" s="200" t="str">
        <x:f>IF(OR(F118="",J118=""),"",F118*J118/1000)</x:f>
      </x:c>
      <x:c r="L118" s="34"/>
      <x:c r="M118" s="35"/>
    </x:row>
    <x:row r="119">
      <x:c r="A119" s="34"/>
      <x:c r="B119" s="78"/>
      <x:c r="C119" s="34"/>
      <x:c r="D119" s="34"/>
      <x:c r="E119" s="34"/>
      <x:c r="F119" s="79"/>
      <x:c r="G119" s="34"/>
      <x:c r="H119" s="34"/>
      <x:c r="I119" s="34"/>
      <x:c r="J119" s="196" t="str">
        <x:f>IF(F119="","",'01_CONFIG'!$B$5)</x:f>
      </x:c>
      <x:c r="K119" s="200" t="str">
        <x:f>IF(OR(F119="",J119=""),"",F119*J119/1000)</x:f>
      </x:c>
      <x:c r="L119" s="34"/>
      <x:c r="M119" s="35"/>
    </x:row>
    <x:row r="120">
      <x:c r="A120" s="34"/>
      <x:c r="B120" s="78"/>
      <x:c r="C120" s="34"/>
      <x:c r="D120" s="34"/>
      <x:c r="E120" s="34"/>
      <x:c r="F120" s="79"/>
      <x:c r="G120" s="34"/>
      <x:c r="H120" s="34"/>
      <x:c r="I120" s="34"/>
      <x:c r="J120" s="196" t="str">
        <x:f>IF(F120="","",'01_CONFIG'!$B$5)</x:f>
      </x:c>
      <x:c r="K120" s="200" t="str">
        <x:f>IF(OR(F120="",J120=""),"",F120*J120/1000)</x:f>
      </x:c>
      <x:c r="L120" s="34"/>
      <x:c r="M120" s="35"/>
    </x:row>
    <x:row r="121">
      <x:c r="A121" s="34"/>
      <x:c r="B121" s="78"/>
      <x:c r="C121" s="34"/>
      <x:c r="D121" s="34"/>
      <x:c r="E121" s="34"/>
      <x:c r="F121" s="79"/>
      <x:c r="G121" s="34"/>
      <x:c r="H121" s="34"/>
      <x:c r="I121" s="34"/>
      <x:c r="J121" s="196" t="str">
        <x:f>IF(F121="","",'01_CONFIG'!$B$5)</x:f>
      </x:c>
      <x:c r="K121" s="200" t="str">
        <x:f>IF(OR(F121="",J121=""),"",F121*J121/1000)</x:f>
      </x:c>
      <x:c r="L121" s="34"/>
      <x:c r="M121" s="35"/>
    </x:row>
    <x:row r="122">
      <x:c r="A122" s="34"/>
      <x:c r="B122" s="78"/>
      <x:c r="C122" s="34"/>
      <x:c r="D122" s="34"/>
      <x:c r="E122" s="34"/>
      <x:c r="F122" s="79"/>
      <x:c r="G122" s="34"/>
      <x:c r="H122" s="34"/>
      <x:c r="I122" s="34"/>
      <x:c r="J122" s="196" t="str">
        <x:f>IF(F122="","",'01_CONFIG'!$B$5)</x:f>
      </x:c>
      <x:c r="K122" s="200" t="str">
        <x:f>IF(OR(F122="",J122=""),"",F122*J122/1000)</x:f>
      </x:c>
      <x:c r="L122" s="34"/>
      <x:c r="M122" s="35"/>
    </x:row>
    <x:row r="123">
      <x:c r="A123" s="34"/>
      <x:c r="B123" s="78"/>
      <x:c r="C123" s="34"/>
      <x:c r="D123" s="34"/>
      <x:c r="E123" s="34"/>
      <x:c r="F123" s="79"/>
      <x:c r="G123" s="34"/>
      <x:c r="H123" s="34"/>
      <x:c r="I123" s="34"/>
      <x:c r="J123" s="196" t="str">
        <x:f>IF(F123="","",'01_CONFIG'!$B$5)</x:f>
      </x:c>
      <x:c r="K123" s="200" t="str">
        <x:f>IF(OR(F123="",J123=""),"",F123*J123/1000)</x:f>
      </x:c>
      <x:c r="L123" s="34"/>
      <x:c r="M123" s="35"/>
    </x:row>
    <x:row r="124">
      <x:c r="A124" s="34"/>
      <x:c r="B124" s="78"/>
      <x:c r="C124" s="34"/>
      <x:c r="D124" s="34"/>
      <x:c r="E124" s="34"/>
      <x:c r="F124" s="79"/>
      <x:c r="G124" s="34"/>
      <x:c r="H124" s="34"/>
      <x:c r="I124" s="34"/>
      <x:c r="J124" s="196" t="str">
        <x:f>IF(F124="","",'01_CONFIG'!$B$5)</x:f>
      </x:c>
      <x:c r="K124" s="200" t="str">
        <x:f>IF(OR(F124="",J124=""),"",F124*J124/1000)</x:f>
      </x:c>
      <x:c r="L124" s="34"/>
      <x:c r="M124" s="35"/>
    </x:row>
    <x:row r="125">
      <x:c r="A125" s="34"/>
      <x:c r="B125" s="78"/>
      <x:c r="C125" s="34"/>
      <x:c r="D125" s="34"/>
      <x:c r="E125" s="34"/>
      <x:c r="F125" s="79"/>
      <x:c r="G125" s="34"/>
      <x:c r="H125" s="34"/>
      <x:c r="I125" s="34"/>
      <x:c r="J125" s="196" t="str">
        <x:f>IF(F125="","",'01_CONFIG'!$B$5)</x:f>
      </x:c>
      <x:c r="K125" s="200" t="str">
        <x:f>IF(OR(F125="",J125=""),"",F125*J125/1000)</x:f>
      </x:c>
      <x:c r="L125" s="34"/>
      <x:c r="M125" s="35"/>
    </x:row>
    <x:row r="126">
      <x:c r="A126" s="34"/>
      <x:c r="B126" s="78"/>
      <x:c r="C126" s="34"/>
      <x:c r="D126" s="34"/>
      <x:c r="E126" s="34"/>
      <x:c r="F126" s="79"/>
      <x:c r="G126" s="34"/>
      <x:c r="H126" s="34"/>
      <x:c r="I126" s="34"/>
      <x:c r="J126" s="196" t="str">
        <x:f>IF(F126="","",'01_CONFIG'!$B$5)</x:f>
      </x:c>
      <x:c r="K126" s="200" t="str">
        <x:f>IF(OR(F126="",J126=""),"",F126*J126/1000)</x:f>
      </x:c>
      <x:c r="L126" s="34"/>
      <x:c r="M126" s="35"/>
    </x:row>
    <x:row r="127">
      <x:c r="A127" s="34"/>
      <x:c r="B127" s="78"/>
      <x:c r="C127" s="34"/>
      <x:c r="D127" s="34"/>
      <x:c r="E127" s="34"/>
      <x:c r="F127" s="79"/>
      <x:c r="G127" s="34"/>
      <x:c r="H127" s="34"/>
      <x:c r="I127" s="34"/>
      <x:c r="J127" s="196" t="str">
        <x:f>IF(F127="","",'01_CONFIG'!$B$5)</x:f>
      </x:c>
      <x:c r="K127" s="200" t="str">
        <x:f>IF(OR(F127="",J127=""),"",F127*J127/1000)</x:f>
      </x:c>
      <x:c r="L127" s="34"/>
      <x:c r="M127" s="35"/>
    </x:row>
    <x:row r="128">
      <x:c r="A128" s="34"/>
      <x:c r="B128" s="78"/>
      <x:c r="C128" s="34"/>
      <x:c r="D128" s="34"/>
      <x:c r="E128" s="34"/>
      <x:c r="F128" s="79"/>
      <x:c r="G128" s="34"/>
      <x:c r="H128" s="34"/>
      <x:c r="I128" s="34"/>
      <x:c r="J128" s="196" t="str">
        <x:f>IF(F128="","",'01_CONFIG'!$B$5)</x:f>
      </x:c>
      <x:c r="K128" s="200" t="str">
        <x:f>IF(OR(F128="",J128=""),"",F128*J128/1000)</x:f>
      </x:c>
      <x:c r="L128" s="34"/>
      <x:c r="M128" s="35"/>
    </x:row>
    <x:row r="129">
      <x:c r="A129" s="34"/>
      <x:c r="B129" s="78"/>
      <x:c r="C129" s="34"/>
      <x:c r="D129" s="34"/>
      <x:c r="E129" s="34"/>
      <x:c r="F129" s="79"/>
      <x:c r="G129" s="34"/>
      <x:c r="H129" s="34"/>
      <x:c r="I129" s="34"/>
      <x:c r="J129" s="196" t="str">
        <x:f>IF(F129="","",'01_CONFIG'!$B$5)</x:f>
      </x:c>
      <x:c r="K129" s="200" t="str">
        <x:f>IF(OR(F129="",J129=""),"",F129*J129/1000)</x:f>
      </x:c>
      <x:c r="L129" s="34"/>
      <x:c r="M129" s="35"/>
    </x:row>
    <x:row r="130">
      <x:c r="A130" s="34"/>
      <x:c r="B130" s="78"/>
      <x:c r="C130" s="34"/>
      <x:c r="D130" s="34"/>
      <x:c r="E130" s="34"/>
      <x:c r="F130" s="79"/>
      <x:c r="G130" s="34"/>
      <x:c r="H130" s="34"/>
      <x:c r="I130" s="34"/>
      <x:c r="J130" s="196" t="str">
        <x:f>IF(F130="","",'01_CONFIG'!$B$5)</x:f>
      </x:c>
      <x:c r="K130" s="200" t="str">
        <x:f>IF(OR(F130="",J130=""),"",F130*J130/1000)</x:f>
      </x:c>
      <x:c r="L130" s="34"/>
      <x:c r="M130" s="35"/>
    </x:row>
    <x:row r="131">
      <x:c r="A131" s="34"/>
      <x:c r="B131" s="78"/>
      <x:c r="C131" s="34"/>
      <x:c r="D131" s="34"/>
      <x:c r="E131" s="34"/>
      <x:c r="F131" s="79"/>
      <x:c r="G131" s="34"/>
      <x:c r="H131" s="34"/>
      <x:c r="I131" s="34"/>
      <x:c r="J131" s="196" t="str">
        <x:f>IF(F131="","",'01_CONFIG'!$B$5)</x:f>
      </x:c>
      <x:c r="K131" s="200" t="str">
        <x:f>IF(OR(F131="",J131=""),"",F131*J131/1000)</x:f>
      </x:c>
      <x:c r="L131" s="34"/>
      <x:c r="M131" s="35"/>
    </x:row>
    <x:row r="132">
      <x:c r="A132" s="34"/>
      <x:c r="B132" s="78"/>
      <x:c r="C132" s="34"/>
      <x:c r="D132" s="34"/>
      <x:c r="E132" s="34"/>
      <x:c r="F132" s="79"/>
      <x:c r="G132" s="34"/>
      <x:c r="H132" s="34"/>
      <x:c r="I132" s="34"/>
      <x:c r="J132" s="196" t="str">
        <x:f>IF(F132="","",'01_CONFIG'!$B$5)</x:f>
      </x:c>
      <x:c r="K132" s="200" t="str">
        <x:f>IF(OR(F132="",J132=""),"",F132*J132/1000)</x:f>
      </x:c>
      <x:c r="L132" s="34"/>
      <x:c r="M132" s="35"/>
    </x:row>
    <x:row r="133">
      <x:c r="A133" s="34"/>
      <x:c r="B133" s="78"/>
      <x:c r="C133" s="34"/>
      <x:c r="D133" s="34"/>
      <x:c r="E133" s="34"/>
      <x:c r="F133" s="79"/>
      <x:c r="G133" s="34"/>
      <x:c r="H133" s="34"/>
      <x:c r="I133" s="34"/>
      <x:c r="J133" s="196" t="str">
        <x:f>IF(F133="","",'01_CONFIG'!$B$5)</x:f>
      </x:c>
      <x:c r="K133" s="200" t="str">
        <x:f>IF(OR(F133="",J133=""),"",F133*J133/1000)</x:f>
      </x:c>
      <x:c r="L133" s="34"/>
      <x:c r="M133" s="35"/>
    </x:row>
    <x:row r="134">
      <x:c r="A134" s="34"/>
      <x:c r="B134" s="78"/>
      <x:c r="C134" s="34"/>
      <x:c r="D134" s="34"/>
      <x:c r="E134" s="34"/>
      <x:c r="F134" s="79"/>
      <x:c r="G134" s="34"/>
      <x:c r="H134" s="34"/>
      <x:c r="I134" s="34"/>
      <x:c r="J134" s="196" t="str">
        <x:f>IF(F134="","",'01_CONFIG'!$B$5)</x:f>
      </x:c>
      <x:c r="K134" s="200" t="str">
        <x:f>IF(OR(F134="",J134=""),"",F134*J134/1000)</x:f>
      </x:c>
      <x:c r="L134" s="34"/>
      <x:c r="M134" s="35"/>
    </x:row>
    <x:row r="135">
      <x:c r="A135" s="34"/>
      <x:c r="B135" s="78"/>
      <x:c r="C135" s="34"/>
      <x:c r="D135" s="34"/>
      <x:c r="E135" s="34"/>
      <x:c r="F135" s="79"/>
      <x:c r="G135" s="34"/>
      <x:c r="H135" s="34"/>
      <x:c r="I135" s="34"/>
      <x:c r="J135" s="196" t="str">
        <x:f>IF(F135="","",'01_CONFIG'!$B$5)</x:f>
      </x:c>
      <x:c r="K135" s="200" t="str">
        <x:f>IF(OR(F135="",J135=""),"",F135*J135/1000)</x:f>
      </x:c>
      <x:c r="L135" s="34"/>
      <x:c r="M135" s="35"/>
    </x:row>
    <x:row r="136">
      <x:c r="A136" s="34"/>
      <x:c r="B136" s="78"/>
      <x:c r="C136" s="34"/>
      <x:c r="D136" s="34"/>
      <x:c r="E136" s="34"/>
      <x:c r="F136" s="79"/>
      <x:c r="G136" s="34"/>
      <x:c r="H136" s="34"/>
      <x:c r="I136" s="34"/>
      <x:c r="J136" s="196" t="str">
        <x:f>IF(F136="","",'01_CONFIG'!$B$5)</x:f>
      </x:c>
      <x:c r="K136" s="200" t="str">
        <x:f>IF(OR(F136="",J136=""),"",F136*J136/1000)</x:f>
      </x:c>
      <x:c r="L136" s="34"/>
      <x:c r="M136" s="35"/>
    </x:row>
    <x:row r="137">
      <x:c r="A137" s="34"/>
      <x:c r="B137" s="78"/>
      <x:c r="C137" s="34"/>
      <x:c r="D137" s="34"/>
      <x:c r="E137" s="34"/>
      <x:c r="F137" s="79"/>
      <x:c r="G137" s="34"/>
      <x:c r="H137" s="34"/>
      <x:c r="I137" s="34"/>
      <x:c r="J137" s="196" t="str">
        <x:f>IF(F137="","",'01_CONFIG'!$B$5)</x:f>
      </x:c>
      <x:c r="K137" s="200" t="str">
        <x:f>IF(OR(F137="",J137=""),"",F137*J137/1000)</x:f>
      </x:c>
      <x:c r="L137" s="34"/>
      <x:c r="M137" s="35"/>
    </x:row>
    <x:row r="138">
      <x:c r="A138" s="34"/>
      <x:c r="B138" s="78"/>
      <x:c r="C138" s="34"/>
      <x:c r="D138" s="34"/>
      <x:c r="E138" s="34"/>
      <x:c r="F138" s="79"/>
      <x:c r="G138" s="34"/>
      <x:c r="H138" s="34"/>
      <x:c r="I138" s="34"/>
      <x:c r="J138" s="196" t="str">
        <x:f>IF(F138="","",'01_CONFIG'!$B$5)</x:f>
      </x:c>
      <x:c r="K138" s="200" t="str">
        <x:f>IF(OR(F138="",J138=""),"",F138*J138/1000)</x:f>
      </x:c>
      <x:c r="L138" s="34"/>
      <x:c r="M138" s="35"/>
    </x:row>
    <x:row r="139">
      <x:c r="A139" s="34"/>
      <x:c r="B139" s="78"/>
      <x:c r="C139" s="34"/>
      <x:c r="D139" s="34"/>
      <x:c r="E139" s="34"/>
      <x:c r="F139" s="79"/>
      <x:c r="G139" s="34"/>
      <x:c r="H139" s="34"/>
      <x:c r="I139" s="34"/>
      <x:c r="J139" s="196" t="str">
        <x:f>IF(F139="","",'01_CONFIG'!$B$5)</x:f>
      </x:c>
      <x:c r="K139" s="200" t="str">
        <x:f>IF(OR(F139="",J139=""),"",F139*J139/1000)</x:f>
      </x:c>
      <x:c r="L139" s="34"/>
      <x:c r="M139" s="35"/>
    </x:row>
    <x:row r="140">
      <x:c r="A140" s="34"/>
      <x:c r="B140" s="78"/>
      <x:c r="C140" s="34"/>
      <x:c r="D140" s="34"/>
      <x:c r="E140" s="34"/>
      <x:c r="F140" s="79"/>
      <x:c r="G140" s="34"/>
      <x:c r="H140" s="34"/>
      <x:c r="I140" s="34"/>
      <x:c r="J140" s="196" t="str">
        <x:f>IF(F140="","",'01_CONFIG'!$B$5)</x:f>
      </x:c>
      <x:c r="K140" s="200" t="str">
        <x:f>IF(OR(F140="",J140=""),"",F140*J140/1000)</x:f>
      </x:c>
      <x:c r="L140" s="34"/>
      <x:c r="M140" s="35"/>
    </x:row>
    <x:row r="141">
      <x:c r="A141" s="34"/>
      <x:c r="B141" s="78"/>
      <x:c r="C141" s="34"/>
      <x:c r="D141" s="34"/>
      <x:c r="E141" s="34"/>
      <x:c r="F141" s="79"/>
      <x:c r="G141" s="34"/>
      <x:c r="H141" s="34"/>
      <x:c r="I141" s="34"/>
      <x:c r="J141" s="196" t="str">
        <x:f>IF(F141="","",'01_CONFIG'!$B$5)</x:f>
      </x:c>
      <x:c r="K141" s="200" t="str">
        <x:f>IF(OR(F141="",J141=""),"",F141*J141/1000)</x:f>
      </x:c>
      <x:c r="L141" s="34"/>
      <x:c r="M141" s="35"/>
    </x:row>
    <x:row r="142">
      <x:c r="A142" s="34"/>
      <x:c r="B142" s="78"/>
      <x:c r="C142" s="34"/>
      <x:c r="D142" s="34"/>
      <x:c r="E142" s="34"/>
      <x:c r="F142" s="79"/>
      <x:c r="G142" s="34"/>
      <x:c r="H142" s="34"/>
      <x:c r="I142" s="34"/>
      <x:c r="J142" s="196" t="str">
        <x:f>IF(F142="","",'01_CONFIG'!$B$5)</x:f>
      </x:c>
      <x:c r="K142" s="200" t="str">
        <x:f>IF(OR(F142="",J142=""),"",F142*J142/1000)</x:f>
      </x:c>
      <x:c r="L142" s="34"/>
      <x:c r="M142" s="35"/>
    </x:row>
    <x:row r="143">
      <x:c r="A143" s="34"/>
      <x:c r="B143" s="78"/>
      <x:c r="C143" s="34"/>
      <x:c r="D143" s="34"/>
      <x:c r="E143" s="34"/>
      <x:c r="F143" s="79"/>
      <x:c r="G143" s="34"/>
      <x:c r="H143" s="34"/>
      <x:c r="I143" s="34"/>
      <x:c r="J143" s="196" t="str">
        <x:f>IF(F143="","",'01_CONFIG'!$B$5)</x:f>
      </x:c>
      <x:c r="K143" s="200" t="str">
        <x:f>IF(OR(F143="",J143=""),"",F143*J143/1000)</x:f>
      </x:c>
      <x:c r="L143" s="34"/>
      <x:c r="M143" s="35"/>
    </x:row>
    <x:row r="144">
      <x:c r="A144" s="34"/>
      <x:c r="B144" s="78"/>
      <x:c r="C144" s="34"/>
      <x:c r="D144" s="34"/>
      <x:c r="E144" s="34"/>
      <x:c r="F144" s="79"/>
      <x:c r="G144" s="34"/>
      <x:c r="H144" s="34"/>
      <x:c r="I144" s="34"/>
      <x:c r="J144" s="196" t="str">
        <x:f>IF(F144="","",'01_CONFIG'!$B$5)</x:f>
      </x:c>
      <x:c r="K144" s="200" t="str">
        <x:f>IF(OR(F144="",J144=""),"",F144*J144/1000)</x:f>
      </x:c>
      <x:c r="L144" s="34"/>
      <x:c r="M144" s="35"/>
    </x:row>
    <x:row r="145">
      <x:c r="A145" s="34"/>
      <x:c r="B145" s="78"/>
      <x:c r="C145" s="34"/>
      <x:c r="D145" s="34"/>
      <x:c r="E145" s="34"/>
      <x:c r="F145" s="79"/>
      <x:c r="G145" s="34"/>
      <x:c r="H145" s="34"/>
      <x:c r="I145" s="34"/>
      <x:c r="J145" s="196" t="str">
        <x:f>IF(F145="","",'01_CONFIG'!$B$5)</x:f>
      </x:c>
      <x:c r="K145" s="200" t="str">
        <x:f>IF(OR(F145="",J145=""),"",F145*J145/1000)</x:f>
      </x:c>
      <x:c r="L145" s="34"/>
      <x:c r="M145" s="35"/>
    </x:row>
    <x:row r="146">
      <x:c r="A146" s="34"/>
      <x:c r="B146" s="78"/>
      <x:c r="C146" s="34"/>
      <x:c r="D146" s="34"/>
      <x:c r="E146" s="34"/>
      <x:c r="F146" s="79"/>
      <x:c r="G146" s="34"/>
      <x:c r="H146" s="34"/>
      <x:c r="I146" s="34"/>
      <x:c r="J146" s="196" t="str">
        <x:f>IF(F146="","",'01_CONFIG'!$B$5)</x:f>
      </x:c>
      <x:c r="K146" s="200" t="str">
        <x:f>IF(OR(F146="",J146=""),"",F146*J146/1000)</x:f>
      </x:c>
      <x:c r="L146" s="34"/>
      <x:c r="M146" s="35"/>
    </x:row>
    <x:row r="147">
      <x:c r="A147" s="34"/>
      <x:c r="B147" s="78"/>
      <x:c r="C147" s="34"/>
      <x:c r="D147" s="34"/>
      <x:c r="E147" s="34"/>
      <x:c r="F147" s="79"/>
      <x:c r="G147" s="34"/>
      <x:c r="H147" s="34"/>
      <x:c r="I147" s="34"/>
      <x:c r="J147" s="196" t="str">
        <x:f>IF(F147="","",'01_CONFIG'!$B$5)</x:f>
      </x:c>
      <x:c r="K147" s="200" t="str">
        <x:f>IF(OR(F147="",J147=""),"",F147*J147/1000)</x:f>
      </x:c>
      <x:c r="L147" s="34"/>
      <x:c r="M147" s="35"/>
    </x:row>
    <x:row r="148">
      <x:c r="A148" s="34"/>
      <x:c r="B148" s="78"/>
      <x:c r="C148" s="34"/>
      <x:c r="D148" s="34"/>
      <x:c r="E148" s="34"/>
      <x:c r="F148" s="79"/>
      <x:c r="G148" s="34"/>
      <x:c r="H148" s="34"/>
      <x:c r="I148" s="34"/>
      <x:c r="J148" s="196" t="str">
        <x:f>IF(F148="","",'01_CONFIG'!$B$5)</x:f>
      </x:c>
      <x:c r="K148" s="200" t="str">
        <x:f>IF(OR(F148="",J148=""),"",F148*J148/1000)</x:f>
      </x:c>
      <x:c r="L148" s="34"/>
      <x:c r="M148" s="35"/>
    </x:row>
    <x:row r="149">
      <x:c r="A149" s="34"/>
      <x:c r="B149" s="78"/>
      <x:c r="C149" s="34"/>
      <x:c r="D149" s="34"/>
      <x:c r="E149" s="34"/>
      <x:c r="F149" s="79"/>
      <x:c r="G149" s="34"/>
      <x:c r="H149" s="34"/>
      <x:c r="I149" s="34"/>
      <x:c r="J149" s="196" t="str">
        <x:f>IF(F149="","",'01_CONFIG'!$B$5)</x:f>
      </x:c>
      <x:c r="K149" s="200" t="str">
        <x:f>IF(OR(F149="",J149=""),"",F149*J149/1000)</x:f>
      </x:c>
      <x:c r="L149" s="34"/>
      <x:c r="M149" s="35"/>
    </x:row>
    <x:row r="150">
      <x:c r="A150" s="34"/>
      <x:c r="B150" s="78"/>
      <x:c r="C150" s="34"/>
      <x:c r="D150" s="34"/>
      <x:c r="E150" s="34"/>
      <x:c r="F150" s="79"/>
      <x:c r="G150" s="34"/>
      <x:c r="H150" s="34"/>
      <x:c r="I150" s="34"/>
      <x:c r="J150" s="196" t="str">
        <x:f>IF(F150="","",'01_CONFIG'!$B$5)</x:f>
      </x:c>
      <x:c r="K150" s="200" t="str">
        <x:f>IF(OR(F150="",J150=""),"",F150*J150/1000)</x:f>
      </x:c>
      <x:c r="L150" s="34"/>
      <x:c r="M150" s="35"/>
    </x:row>
    <x:row r="151">
      <x:c r="A151" s="34"/>
      <x:c r="B151" s="78"/>
      <x:c r="C151" s="34"/>
      <x:c r="D151" s="34"/>
      <x:c r="E151" s="34"/>
      <x:c r="F151" s="79"/>
      <x:c r="G151" s="34"/>
      <x:c r="H151" s="34"/>
      <x:c r="I151" s="34"/>
      <x:c r="J151" s="196" t="str">
        <x:f>IF(F151="","",'01_CONFIG'!$B$5)</x:f>
      </x:c>
      <x:c r="K151" s="200" t="str">
        <x:f>IF(OR(F151="",J151=""),"",F151*J151/1000)</x:f>
      </x:c>
      <x:c r="L151" s="34"/>
      <x:c r="M151" s="35"/>
    </x:row>
    <x:row r="152">
      <x:c r="A152" s="34"/>
      <x:c r="B152" s="78"/>
      <x:c r="C152" s="34"/>
      <x:c r="D152" s="34"/>
      <x:c r="E152" s="34"/>
      <x:c r="F152" s="79"/>
      <x:c r="G152" s="34"/>
      <x:c r="H152" s="34"/>
      <x:c r="I152" s="34"/>
      <x:c r="J152" s="196" t="str">
        <x:f>IF(F152="","",'01_CONFIG'!$B$5)</x:f>
      </x:c>
      <x:c r="K152" s="200" t="str">
        <x:f>IF(OR(F152="",J152=""),"",F152*J152/1000)</x:f>
      </x:c>
      <x:c r="L152" s="34"/>
      <x:c r="M152" s="35"/>
    </x:row>
    <x:row r="153">
      <x:c r="A153" s="34"/>
      <x:c r="B153" s="78"/>
      <x:c r="C153" s="34"/>
      <x:c r="D153" s="34"/>
      <x:c r="E153" s="34"/>
      <x:c r="F153" s="79"/>
      <x:c r="G153" s="34"/>
      <x:c r="H153" s="34"/>
      <x:c r="I153" s="34"/>
      <x:c r="J153" s="196" t="str">
        <x:f>IF(F153="","",'01_CONFIG'!$B$5)</x:f>
      </x:c>
      <x:c r="K153" s="200" t="str">
        <x:f>IF(OR(F153="",J153=""),"",F153*J153/1000)</x:f>
      </x:c>
      <x:c r="L153" s="34"/>
      <x:c r="M153" s="35"/>
    </x:row>
    <x:row r="154">
      <x:c r="A154" s="34"/>
      <x:c r="B154" s="78"/>
      <x:c r="C154" s="34"/>
      <x:c r="D154" s="34"/>
      <x:c r="E154" s="34"/>
      <x:c r="F154" s="79"/>
      <x:c r="G154" s="34"/>
      <x:c r="H154" s="34"/>
      <x:c r="I154" s="34"/>
      <x:c r="J154" s="196" t="str">
        <x:f>IF(F154="","",'01_CONFIG'!$B$5)</x:f>
      </x:c>
      <x:c r="K154" s="200" t="str">
        <x:f>IF(OR(F154="",J154=""),"",F154*J154/1000)</x:f>
      </x:c>
      <x:c r="L154" s="34"/>
      <x:c r="M154" s="35"/>
    </x:row>
    <x:row r="155">
      <x:c r="A155" s="34"/>
      <x:c r="B155" s="78"/>
      <x:c r="C155" s="34"/>
      <x:c r="D155" s="34"/>
      <x:c r="E155" s="34"/>
      <x:c r="F155" s="79"/>
      <x:c r="G155" s="34"/>
      <x:c r="H155" s="34"/>
      <x:c r="I155" s="34"/>
      <x:c r="J155" s="196" t="str">
        <x:f>IF(F155="","",'01_CONFIG'!$B$5)</x:f>
      </x:c>
      <x:c r="K155" s="200" t="str">
        <x:f>IF(OR(F155="",J155=""),"",F155*J155/1000)</x:f>
      </x:c>
      <x:c r="L155" s="34"/>
      <x:c r="M155" s="35"/>
    </x:row>
    <x:row r="156">
      <x:c r="A156" s="34"/>
      <x:c r="B156" s="78"/>
      <x:c r="C156" s="34"/>
      <x:c r="D156" s="34"/>
      <x:c r="E156" s="34"/>
      <x:c r="F156" s="79"/>
      <x:c r="G156" s="34"/>
      <x:c r="H156" s="34"/>
      <x:c r="I156" s="34"/>
      <x:c r="J156" s="196" t="str">
        <x:f>IF(F156="","",'01_CONFIG'!$B$5)</x:f>
      </x:c>
      <x:c r="K156" s="200" t="str">
        <x:f>IF(OR(F156="",J156=""),"",F156*J156/1000)</x:f>
      </x:c>
      <x:c r="L156" s="34"/>
      <x:c r="M156" s="35"/>
    </x:row>
    <x:row r="157">
      <x:c r="A157" s="34"/>
      <x:c r="B157" s="78"/>
      <x:c r="C157" s="34"/>
      <x:c r="D157" s="34"/>
      <x:c r="E157" s="34"/>
      <x:c r="F157" s="79"/>
      <x:c r="G157" s="34"/>
      <x:c r="H157" s="34"/>
      <x:c r="I157" s="34"/>
      <x:c r="J157" s="196" t="str">
        <x:f>IF(F157="","",'01_CONFIG'!$B$5)</x:f>
      </x:c>
      <x:c r="K157" s="200" t="str">
        <x:f>IF(OR(F157="",J157=""),"",F157*J157/1000)</x:f>
      </x:c>
      <x:c r="L157" s="34"/>
      <x:c r="M157" s="35"/>
    </x:row>
    <x:row r="158">
      <x:c r="A158" s="34"/>
      <x:c r="B158" s="78"/>
      <x:c r="C158" s="34"/>
      <x:c r="D158" s="34"/>
      <x:c r="E158" s="34"/>
      <x:c r="F158" s="79"/>
      <x:c r="G158" s="34"/>
      <x:c r="H158" s="34"/>
      <x:c r="I158" s="34"/>
      <x:c r="J158" s="196" t="str">
        <x:f>IF(F158="","",'01_CONFIG'!$B$5)</x:f>
      </x:c>
      <x:c r="K158" s="200" t="str">
        <x:f>IF(OR(F158="",J158=""),"",F158*J158/1000)</x:f>
      </x:c>
      <x:c r="L158" s="34"/>
      <x:c r="M158" s="35"/>
    </x:row>
    <x:row r="159">
      <x:c r="A159" s="34"/>
      <x:c r="B159" s="78"/>
      <x:c r="C159" s="34"/>
      <x:c r="D159" s="34"/>
      <x:c r="E159" s="34"/>
      <x:c r="F159" s="79"/>
      <x:c r="G159" s="34"/>
      <x:c r="H159" s="34"/>
      <x:c r="I159" s="34"/>
      <x:c r="J159" s="196" t="str">
        <x:f>IF(F159="","",'01_CONFIG'!$B$5)</x:f>
      </x:c>
      <x:c r="K159" s="200" t="str">
        <x:f>IF(OR(F159="",J159=""),"",F159*J159/1000)</x:f>
      </x:c>
      <x:c r="L159" s="34"/>
      <x:c r="M159" s="35"/>
    </x:row>
    <x:row r="160">
      <x:c r="A160" s="34"/>
      <x:c r="B160" s="78"/>
      <x:c r="C160" s="34"/>
      <x:c r="D160" s="34"/>
      <x:c r="E160" s="34"/>
      <x:c r="F160" s="79"/>
      <x:c r="G160" s="34"/>
      <x:c r="H160" s="34"/>
      <x:c r="I160" s="34"/>
      <x:c r="J160" s="196" t="str">
        <x:f>IF(F160="","",'01_CONFIG'!$B$5)</x:f>
      </x:c>
      <x:c r="K160" s="200" t="str">
        <x:f>IF(OR(F160="",J160=""),"",F160*J160/1000)</x:f>
      </x:c>
      <x:c r="L160" s="34"/>
      <x:c r="M160" s="35"/>
    </x:row>
    <x:row r="161">
      <x:c r="A161" s="34"/>
      <x:c r="B161" s="78"/>
      <x:c r="C161" s="34"/>
      <x:c r="D161" s="34"/>
      <x:c r="E161" s="34"/>
      <x:c r="F161" s="79"/>
      <x:c r="G161" s="34"/>
      <x:c r="H161" s="34"/>
      <x:c r="I161" s="34"/>
      <x:c r="J161" s="196" t="str">
        <x:f>IF(F161="","",'01_CONFIG'!$B$5)</x:f>
      </x:c>
      <x:c r="K161" s="200" t="str">
        <x:f>IF(OR(F161="",J161=""),"",F161*J161/1000)</x:f>
      </x:c>
      <x:c r="L161" s="34"/>
      <x:c r="M161" s="35"/>
    </x:row>
    <x:row r="162">
      <x:c r="A162" s="34"/>
      <x:c r="B162" s="78"/>
      <x:c r="C162" s="34"/>
      <x:c r="D162" s="34"/>
      <x:c r="E162" s="34"/>
      <x:c r="F162" s="79"/>
      <x:c r="G162" s="34"/>
      <x:c r="H162" s="34"/>
      <x:c r="I162" s="34"/>
      <x:c r="J162" s="196" t="str">
        <x:f>IF(F162="","",'01_CONFIG'!$B$5)</x:f>
      </x:c>
      <x:c r="K162" s="200" t="str">
        <x:f>IF(OR(F162="",J162=""),"",F162*J162/1000)</x:f>
      </x:c>
      <x:c r="L162" s="34"/>
      <x:c r="M162" s="35"/>
    </x:row>
    <x:row r="163">
      <x:c r="A163" s="34"/>
      <x:c r="B163" s="78"/>
      <x:c r="C163" s="34"/>
      <x:c r="D163" s="34"/>
      <x:c r="E163" s="34"/>
      <x:c r="F163" s="79"/>
      <x:c r="G163" s="34"/>
      <x:c r="H163" s="34"/>
      <x:c r="I163" s="34"/>
      <x:c r="J163" s="196" t="str">
        <x:f>IF(F163="","",'01_CONFIG'!$B$5)</x:f>
      </x:c>
      <x:c r="K163" s="200" t="str">
        <x:f>IF(OR(F163="",J163=""),"",F163*J163/1000)</x:f>
      </x:c>
      <x:c r="L163" s="34"/>
      <x:c r="M163" s="35"/>
    </x:row>
    <x:row r="164">
      <x:c r="A164" s="34"/>
      <x:c r="B164" s="78"/>
      <x:c r="C164" s="34"/>
      <x:c r="D164" s="34"/>
      <x:c r="E164" s="34"/>
      <x:c r="F164" s="79"/>
      <x:c r="G164" s="34"/>
      <x:c r="H164" s="34"/>
      <x:c r="I164" s="34"/>
      <x:c r="J164" s="196" t="str">
        <x:f>IF(F164="","",'01_CONFIG'!$B$5)</x:f>
      </x:c>
      <x:c r="K164" s="200" t="str">
        <x:f>IF(OR(F164="",J164=""),"",F164*J164/1000)</x:f>
      </x:c>
      <x:c r="L164" s="34"/>
      <x:c r="M164" s="35"/>
    </x:row>
    <x:row r="165">
      <x:c r="A165" s="34"/>
      <x:c r="B165" s="78"/>
      <x:c r="C165" s="34"/>
      <x:c r="D165" s="34"/>
      <x:c r="E165" s="34"/>
      <x:c r="F165" s="79"/>
      <x:c r="G165" s="34"/>
      <x:c r="H165" s="34"/>
      <x:c r="I165" s="34"/>
      <x:c r="J165" s="196" t="str">
        <x:f>IF(F165="","",'01_CONFIG'!$B$5)</x:f>
      </x:c>
      <x:c r="K165" s="200" t="str">
        <x:f>IF(OR(F165="",J165=""),"",F165*J165/1000)</x:f>
      </x:c>
      <x:c r="L165" s="34"/>
      <x:c r="M165" s="35"/>
    </x:row>
    <x:row r="166">
      <x:c r="A166" s="34"/>
      <x:c r="B166" s="78"/>
      <x:c r="C166" s="34"/>
      <x:c r="D166" s="34"/>
      <x:c r="E166" s="34"/>
      <x:c r="F166" s="79"/>
      <x:c r="G166" s="34"/>
      <x:c r="H166" s="34"/>
      <x:c r="I166" s="34"/>
      <x:c r="J166" s="196" t="str">
        <x:f>IF(F166="","",'01_CONFIG'!$B$5)</x:f>
      </x:c>
      <x:c r="K166" s="200" t="str">
        <x:f>IF(OR(F166="",J166=""),"",F166*J166/1000)</x:f>
      </x:c>
      <x:c r="L166" s="34"/>
      <x:c r="M166" s="35"/>
    </x:row>
    <x:row r="167">
      <x:c r="A167" s="34"/>
      <x:c r="B167" s="78"/>
      <x:c r="C167" s="34"/>
      <x:c r="D167" s="34"/>
      <x:c r="E167" s="34"/>
      <x:c r="F167" s="79"/>
      <x:c r="G167" s="34"/>
      <x:c r="H167" s="34"/>
      <x:c r="I167" s="34"/>
      <x:c r="J167" s="196" t="str">
        <x:f>IF(F167="","",'01_CONFIG'!$B$5)</x:f>
      </x:c>
      <x:c r="K167" s="200" t="str">
        <x:f>IF(OR(F167="",J167=""),"",F167*J167/1000)</x:f>
      </x:c>
      <x:c r="L167" s="34"/>
      <x:c r="M167" s="35"/>
    </x:row>
    <x:row r="168">
      <x:c r="A168" s="34"/>
      <x:c r="B168" s="78"/>
      <x:c r="C168" s="34"/>
      <x:c r="D168" s="34"/>
      <x:c r="E168" s="34"/>
      <x:c r="F168" s="79"/>
      <x:c r="G168" s="34"/>
      <x:c r="H168" s="34"/>
      <x:c r="I168" s="34"/>
      <x:c r="J168" s="196" t="str">
        <x:f>IF(F168="","",'01_CONFIG'!$B$5)</x:f>
      </x:c>
      <x:c r="K168" s="200" t="str">
        <x:f>IF(OR(F168="",J168=""),"",F168*J168/1000)</x:f>
      </x:c>
      <x:c r="L168" s="34"/>
      <x:c r="M168" s="35"/>
    </x:row>
    <x:row r="169">
      <x:c r="A169" s="34"/>
      <x:c r="B169" s="78"/>
      <x:c r="C169" s="34"/>
      <x:c r="D169" s="34"/>
      <x:c r="E169" s="34"/>
      <x:c r="F169" s="79"/>
      <x:c r="G169" s="34"/>
      <x:c r="H169" s="34"/>
      <x:c r="I169" s="34"/>
      <x:c r="J169" s="196" t="str">
        <x:f>IF(F169="","",'01_CONFIG'!$B$5)</x:f>
      </x:c>
      <x:c r="K169" s="200" t="str">
        <x:f>IF(OR(F169="",J169=""),"",F169*J169/1000)</x:f>
      </x:c>
      <x:c r="L169" s="34"/>
      <x:c r="M169" s="35"/>
    </x:row>
    <x:row r="170">
      <x:c r="A170" s="34"/>
      <x:c r="B170" s="78"/>
      <x:c r="C170" s="34"/>
      <x:c r="D170" s="34"/>
      <x:c r="E170" s="34"/>
      <x:c r="F170" s="79"/>
      <x:c r="G170" s="34"/>
      <x:c r="H170" s="34"/>
      <x:c r="I170" s="34"/>
      <x:c r="J170" s="196" t="str">
        <x:f>IF(F170="","",'01_CONFIG'!$B$5)</x:f>
      </x:c>
      <x:c r="K170" s="200" t="str">
        <x:f>IF(OR(F170="",J170=""),"",F170*J170/1000)</x:f>
      </x:c>
      <x:c r="L170" s="34"/>
      <x:c r="M170" s="35"/>
    </x:row>
    <x:row r="171">
      <x:c r="A171" s="34"/>
      <x:c r="B171" s="78"/>
      <x:c r="C171" s="34"/>
      <x:c r="D171" s="34"/>
      <x:c r="E171" s="34"/>
      <x:c r="F171" s="79"/>
      <x:c r="G171" s="34"/>
      <x:c r="H171" s="34"/>
      <x:c r="I171" s="34"/>
      <x:c r="J171" s="196" t="str">
        <x:f>IF(F171="","",'01_CONFIG'!$B$5)</x:f>
      </x:c>
      <x:c r="K171" s="200" t="str">
        <x:f>IF(OR(F171="",J171=""),"",F171*J171/1000)</x:f>
      </x:c>
      <x:c r="L171" s="34"/>
      <x:c r="M171" s="35"/>
    </x:row>
    <x:row r="172">
      <x:c r="A172" s="34"/>
      <x:c r="B172" s="78"/>
      <x:c r="C172" s="34"/>
      <x:c r="D172" s="34"/>
      <x:c r="E172" s="34"/>
      <x:c r="F172" s="79"/>
      <x:c r="G172" s="34"/>
      <x:c r="H172" s="34"/>
      <x:c r="I172" s="34"/>
      <x:c r="J172" s="196" t="str">
        <x:f>IF(F172="","",'01_CONFIG'!$B$5)</x:f>
      </x:c>
      <x:c r="K172" s="200" t="str">
        <x:f>IF(OR(F172="",J172=""),"",F172*J172/1000)</x:f>
      </x:c>
      <x:c r="L172" s="34"/>
      <x:c r="M172" s="35"/>
    </x:row>
    <x:row r="173">
      <x:c r="A173" s="34"/>
      <x:c r="B173" s="78"/>
      <x:c r="C173" s="34"/>
      <x:c r="D173" s="34"/>
      <x:c r="E173" s="34"/>
      <x:c r="F173" s="79"/>
      <x:c r="G173" s="34"/>
      <x:c r="H173" s="34"/>
      <x:c r="I173" s="34"/>
      <x:c r="J173" s="196" t="str">
        <x:f>IF(F173="","",'01_CONFIG'!$B$5)</x:f>
      </x:c>
      <x:c r="K173" s="200" t="str">
        <x:f>IF(OR(F173="",J173=""),"",F173*J173/1000)</x:f>
      </x:c>
      <x:c r="L173" s="34"/>
      <x:c r="M173" s="35"/>
    </x:row>
    <x:row r="174">
      <x:c r="A174" s="34"/>
      <x:c r="B174" s="78"/>
      <x:c r="C174" s="34"/>
      <x:c r="D174" s="34"/>
      <x:c r="E174" s="34"/>
      <x:c r="F174" s="79"/>
      <x:c r="G174" s="34"/>
      <x:c r="H174" s="34"/>
      <x:c r="I174" s="34"/>
      <x:c r="J174" s="196" t="str">
        <x:f>IF(F174="","",'01_CONFIG'!$B$5)</x:f>
      </x:c>
      <x:c r="K174" s="200" t="str">
        <x:f>IF(OR(F174="",J174=""),"",F174*J174/1000)</x:f>
      </x:c>
      <x:c r="L174" s="34"/>
      <x:c r="M174" s="35"/>
    </x:row>
    <x:row r="175">
      <x:c r="A175" s="34"/>
      <x:c r="B175" s="78"/>
      <x:c r="C175" s="34"/>
      <x:c r="D175" s="34"/>
      <x:c r="E175" s="34"/>
      <x:c r="F175" s="79"/>
      <x:c r="G175" s="34"/>
      <x:c r="H175" s="34"/>
      <x:c r="I175" s="34"/>
      <x:c r="J175" s="196" t="str">
        <x:f>IF(F175="","",'01_CONFIG'!$B$5)</x:f>
      </x:c>
      <x:c r="K175" s="200" t="str">
        <x:f>IF(OR(F175="",J175=""),"",F175*J175/1000)</x:f>
      </x:c>
      <x:c r="L175" s="34"/>
      <x:c r="M175" s="35"/>
    </x:row>
    <x:row r="176">
      <x:c r="A176" s="34"/>
      <x:c r="B176" s="78"/>
      <x:c r="C176" s="34"/>
      <x:c r="D176" s="34"/>
      <x:c r="E176" s="34"/>
      <x:c r="F176" s="79"/>
      <x:c r="G176" s="34"/>
      <x:c r="H176" s="34"/>
      <x:c r="I176" s="34"/>
      <x:c r="J176" s="196" t="str">
        <x:f>IF(F176="","",'01_CONFIG'!$B$5)</x:f>
      </x:c>
      <x:c r="K176" s="200" t="str">
        <x:f>IF(OR(F176="",J176=""),"",F176*J176/1000)</x:f>
      </x:c>
      <x:c r="L176" s="34"/>
      <x:c r="M176" s="35"/>
    </x:row>
    <x:row r="177">
      <x:c r="A177" s="34"/>
      <x:c r="B177" s="78"/>
      <x:c r="C177" s="34"/>
      <x:c r="D177" s="34"/>
      <x:c r="E177" s="34"/>
      <x:c r="F177" s="79"/>
      <x:c r="G177" s="34"/>
      <x:c r="H177" s="34"/>
      <x:c r="I177" s="34"/>
      <x:c r="J177" s="196" t="str">
        <x:f>IF(F177="","",'01_CONFIG'!$B$5)</x:f>
      </x:c>
      <x:c r="K177" s="200" t="str">
        <x:f>IF(OR(F177="",J177=""),"",F177*J177/1000)</x:f>
      </x:c>
      <x:c r="L177" s="34"/>
      <x:c r="M177" s="35"/>
    </x:row>
    <x:row r="178">
      <x:c r="A178" s="34"/>
      <x:c r="B178" s="78"/>
      <x:c r="C178" s="34"/>
      <x:c r="D178" s="34"/>
      <x:c r="E178" s="34"/>
      <x:c r="F178" s="79"/>
      <x:c r="G178" s="34"/>
      <x:c r="H178" s="34"/>
      <x:c r="I178" s="34"/>
      <x:c r="J178" s="196" t="str">
        <x:f>IF(F178="","",'01_CONFIG'!$B$5)</x:f>
      </x:c>
      <x:c r="K178" s="200" t="str">
        <x:f>IF(OR(F178="",J178=""),"",F178*J178/1000)</x:f>
      </x:c>
      <x:c r="L178" s="34"/>
      <x:c r="M178" s="35"/>
    </x:row>
    <x:row r="179">
      <x:c r="A179" s="34"/>
      <x:c r="B179" s="78"/>
      <x:c r="C179" s="34"/>
      <x:c r="D179" s="34"/>
      <x:c r="E179" s="34"/>
      <x:c r="F179" s="79"/>
      <x:c r="G179" s="34"/>
      <x:c r="H179" s="34"/>
      <x:c r="I179" s="34"/>
      <x:c r="J179" s="196" t="str">
        <x:f>IF(F179="","",'01_CONFIG'!$B$5)</x:f>
      </x:c>
      <x:c r="K179" s="200" t="str">
        <x:f>IF(OR(F179="",J179=""),"",F179*J179/1000)</x:f>
      </x:c>
      <x:c r="L179" s="34"/>
      <x:c r="M179" s="35"/>
    </x:row>
    <x:row r="180">
      <x:c r="A180" s="34"/>
      <x:c r="B180" s="78"/>
      <x:c r="C180" s="34"/>
      <x:c r="D180" s="34"/>
      <x:c r="E180" s="34"/>
      <x:c r="F180" s="79"/>
      <x:c r="G180" s="34"/>
      <x:c r="H180" s="34"/>
      <x:c r="I180" s="34"/>
      <x:c r="J180" s="196" t="str">
        <x:f>IF(F180="","",'01_CONFIG'!$B$5)</x:f>
      </x:c>
      <x:c r="K180" s="200" t="str">
        <x:f>IF(OR(F180="",J180=""),"",F180*J180/1000)</x:f>
      </x:c>
      <x:c r="L180" s="34"/>
      <x:c r="M180" s="35"/>
    </x:row>
    <x:row r="181">
      <x:c r="A181" s="34"/>
      <x:c r="B181" s="78"/>
      <x:c r="C181" s="34"/>
      <x:c r="D181" s="34"/>
      <x:c r="E181" s="34"/>
      <x:c r="F181" s="79"/>
      <x:c r="G181" s="34"/>
      <x:c r="H181" s="34"/>
      <x:c r="I181" s="34"/>
      <x:c r="J181" s="196" t="str">
        <x:f>IF(F181="","",'01_CONFIG'!$B$5)</x:f>
      </x:c>
      <x:c r="K181" s="200" t="str">
        <x:f>IF(OR(F181="",J181=""),"",F181*J181/1000)</x:f>
      </x:c>
      <x:c r="L181" s="34"/>
      <x:c r="M181" s="35"/>
    </x:row>
    <x:row r="182">
      <x:c r="A182" s="34"/>
      <x:c r="B182" s="78"/>
      <x:c r="C182" s="34"/>
      <x:c r="D182" s="34"/>
      <x:c r="E182" s="34"/>
      <x:c r="F182" s="79"/>
      <x:c r="G182" s="34"/>
      <x:c r="H182" s="34"/>
      <x:c r="I182" s="34"/>
      <x:c r="J182" s="196" t="str">
        <x:f>IF(F182="","",'01_CONFIG'!$B$5)</x:f>
      </x:c>
      <x:c r="K182" s="200" t="str">
        <x:f>IF(OR(F182="",J182=""),"",F182*J182/1000)</x:f>
      </x:c>
      <x:c r="L182" s="34"/>
      <x:c r="M182" s="35"/>
    </x:row>
    <x:row r="183">
      <x:c r="A183" s="34"/>
      <x:c r="B183" s="78"/>
      <x:c r="C183" s="34"/>
      <x:c r="D183" s="34"/>
      <x:c r="E183" s="34"/>
      <x:c r="F183" s="79"/>
      <x:c r="G183" s="34"/>
      <x:c r="H183" s="34"/>
      <x:c r="I183" s="34"/>
      <x:c r="J183" s="196" t="str">
        <x:f>IF(F183="","",'01_CONFIG'!$B$5)</x:f>
      </x:c>
      <x:c r="K183" s="200" t="str">
        <x:f>IF(OR(F183="",J183=""),"",F183*J183/1000)</x:f>
      </x:c>
      <x:c r="L183" s="34"/>
      <x:c r="M183" s="35"/>
    </x:row>
    <x:row r="184">
      <x:c r="A184" s="34"/>
      <x:c r="B184" s="78"/>
      <x:c r="C184" s="34"/>
      <x:c r="D184" s="34"/>
      <x:c r="E184" s="34"/>
      <x:c r="F184" s="79"/>
      <x:c r="G184" s="34"/>
      <x:c r="H184" s="34"/>
      <x:c r="I184" s="34"/>
      <x:c r="J184" s="196" t="str">
        <x:f>IF(F184="","",'01_CONFIG'!$B$5)</x:f>
      </x:c>
      <x:c r="K184" s="200" t="str">
        <x:f>IF(OR(F184="",J184=""),"",F184*J184/1000)</x:f>
      </x:c>
      <x:c r="L184" s="34"/>
      <x:c r="M184" s="35"/>
    </x:row>
    <x:row r="185">
      <x:c r="A185" s="34"/>
      <x:c r="B185" s="78"/>
      <x:c r="C185" s="34"/>
      <x:c r="D185" s="34"/>
      <x:c r="E185" s="34"/>
      <x:c r="F185" s="79"/>
      <x:c r="G185" s="34"/>
      <x:c r="H185" s="34"/>
      <x:c r="I185" s="34"/>
      <x:c r="J185" s="196" t="str">
        <x:f>IF(F185="","",'01_CONFIG'!$B$5)</x:f>
      </x:c>
      <x:c r="K185" s="200" t="str">
        <x:f>IF(OR(F185="",J185=""),"",F185*J185/1000)</x:f>
      </x:c>
      <x:c r="L185" s="34"/>
      <x:c r="M185" s="35"/>
    </x:row>
    <x:row r="186">
      <x:c r="A186" s="34"/>
      <x:c r="B186" s="78"/>
      <x:c r="C186" s="34"/>
      <x:c r="D186" s="34"/>
      <x:c r="E186" s="34"/>
      <x:c r="F186" s="79"/>
      <x:c r="G186" s="34"/>
      <x:c r="H186" s="34"/>
      <x:c r="I186" s="34"/>
      <x:c r="J186" s="196" t="str">
        <x:f>IF(F186="","",'01_CONFIG'!$B$5)</x:f>
      </x:c>
      <x:c r="K186" s="200" t="str">
        <x:f>IF(OR(F186="",J186=""),"",F186*J186/1000)</x:f>
      </x:c>
      <x:c r="L186" s="34"/>
      <x:c r="M186" s="35"/>
    </x:row>
    <x:row r="187">
      <x:c r="A187" s="34"/>
      <x:c r="B187" s="78"/>
      <x:c r="C187" s="34"/>
      <x:c r="D187" s="34"/>
      <x:c r="E187" s="34"/>
      <x:c r="F187" s="79"/>
      <x:c r="G187" s="34"/>
      <x:c r="H187" s="34"/>
      <x:c r="I187" s="34"/>
      <x:c r="J187" s="196" t="str">
        <x:f>IF(F187="","",'01_CONFIG'!$B$5)</x:f>
      </x:c>
      <x:c r="K187" s="200" t="str">
        <x:f>IF(OR(F187="",J187=""),"",F187*J187/1000)</x:f>
      </x:c>
      <x:c r="L187" s="34"/>
      <x:c r="M187" s="35"/>
    </x:row>
    <x:row r="188">
      <x:c r="A188" s="34"/>
      <x:c r="B188" s="78"/>
      <x:c r="C188" s="34"/>
      <x:c r="D188" s="34"/>
      <x:c r="E188" s="34"/>
      <x:c r="F188" s="79"/>
      <x:c r="G188" s="34"/>
      <x:c r="H188" s="34"/>
      <x:c r="I188" s="34"/>
      <x:c r="J188" s="196" t="str">
        <x:f>IF(F188="","",'01_CONFIG'!$B$5)</x:f>
      </x:c>
      <x:c r="K188" s="200" t="str">
        <x:f>IF(OR(F188="",J188=""),"",F188*J188/1000)</x:f>
      </x:c>
      <x:c r="L188" s="34"/>
      <x:c r="M188" s="35"/>
    </x:row>
    <x:row r="189">
      <x:c r="A189" s="34"/>
      <x:c r="B189" s="78"/>
      <x:c r="C189" s="34"/>
      <x:c r="D189" s="34"/>
      <x:c r="E189" s="34"/>
      <x:c r="F189" s="79"/>
      <x:c r="G189" s="34"/>
      <x:c r="H189" s="34"/>
      <x:c r="I189" s="34"/>
      <x:c r="J189" s="196" t="str">
        <x:f>IF(F189="","",'01_CONFIG'!$B$5)</x:f>
      </x:c>
      <x:c r="K189" s="200" t="str">
        <x:f>IF(OR(F189="",J189=""),"",F189*J189/1000)</x:f>
      </x:c>
      <x:c r="L189" s="34"/>
      <x:c r="M189" s="35"/>
    </x:row>
    <x:row r="190">
      <x:c r="A190" s="34"/>
      <x:c r="B190" s="78"/>
      <x:c r="C190" s="34"/>
      <x:c r="D190" s="34"/>
      <x:c r="E190" s="34"/>
      <x:c r="F190" s="79"/>
      <x:c r="G190" s="34"/>
      <x:c r="H190" s="34"/>
      <x:c r="I190" s="34"/>
      <x:c r="J190" s="196" t="str">
        <x:f>IF(F190="","",'01_CONFIG'!$B$5)</x:f>
      </x:c>
      <x:c r="K190" s="200" t="str">
        <x:f>IF(OR(F190="",J190=""),"",F190*J190/1000)</x:f>
      </x:c>
      <x:c r="L190" s="34"/>
      <x:c r="M190" s="35"/>
    </x:row>
    <x:row r="191">
      <x:c r="A191" s="34"/>
      <x:c r="B191" s="78"/>
      <x:c r="C191" s="34"/>
      <x:c r="D191" s="34"/>
      <x:c r="E191" s="34"/>
      <x:c r="F191" s="79"/>
      <x:c r="G191" s="34"/>
      <x:c r="H191" s="34"/>
      <x:c r="I191" s="34"/>
      <x:c r="J191" s="196" t="str">
        <x:f>IF(F191="","",'01_CONFIG'!$B$5)</x:f>
      </x:c>
      <x:c r="K191" s="200" t="str">
        <x:f>IF(OR(F191="",J191=""),"",F191*J191/1000)</x:f>
      </x:c>
      <x:c r="L191" s="34"/>
      <x:c r="M191" s="35"/>
    </x:row>
    <x:row r="192">
      <x:c r="A192" s="34"/>
      <x:c r="B192" s="78"/>
      <x:c r="C192" s="34"/>
      <x:c r="D192" s="34"/>
      <x:c r="E192" s="34"/>
      <x:c r="F192" s="79"/>
      <x:c r="G192" s="34"/>
      <x:c r="H192" s="34"/>
      <x:c r="I192" s="34"/>
      <x:c r="J192" s="196" t="str">
        <x:f>IF(F192="","",'01_CONFIG'!$B$5)</x:f>
      </x:c>
      <x:c r="K192" s="200" t="str">
        <x:f>IF(OR(F192="",J192=""),"",F192*J192/1000)</x:f>
      </x:c>
      <x:c r="L192" s="34"/>
      <x:c r="M192" s="35"/>
    </x:row>
    <x:row r="193">
      <x:c r="A193" s="34"/>
      <x:c r="B193" s="78"/>
      <x:c r="C193" s="34"/>
      <x:c r="D193" s="34"/>
      <x:c r="E193" s="34"/>
      <x:c r="F193" s="79"/>
      <x:c r="G193" s="34"/>
      <x:c r="H193" s="34"/>
      <x:c r="I193" s="34"/>
      <x:c r="J193" s="196" t="str">
        <x:f>IF(F193="","",'01_CONFIG'!$B$5)</x:f>
      </x:c>
      <x:c r="K193" s="200" t="str">
        <x:f>IF(OR(F193="",J193=""),"",F193*J193/1000)</x:f>
      </x:c>
      <x:c r="L193" s="34"/>
      <x:c r="M193" s="35"/>
    </x:row>
    <x:row r="194">
      <x:c r="A194" s="34"/>
      <x:c r="B194" s="78"/>
      <x:c r="C194" s="34"/>
      <x:c r="D194" s="34"/>
      <x:c r="E194" s="34"/>
      <x:c r="F194" s="79"/>
      <x:c r="G194" s="34"/>
      <x:c r="H194" s="34"/>
      <x:c r="I194" s="34"/>
      <x:c r="J194" s="196" t="str">
        <x:f>IF(F194="","",'01_CONFIG'!$B$5)</x:f>
      </x:c>
      <x:c r="K194" s="200" t="str">
        <x:f>IF(OR(F194="",J194=""),"",F194*J194/1000)</x:f>
      </x:c>
      <x:c r="L194" s="34"/>
      <x:c r="M194" s="35"/>
    </x:row>
    <x:row r="195">
      <x:c r="A195" s="34"/>
      <x:c r="B195" s="78"/>
      <x:c r="C195" s="34"/>
      <x:c r="D195" s="34"/>
      <x:c r="E195" s="34"/>
      <x:c r="F195" s="79"/>
      <x:c r="G195" s="34"/>
      <x:c r="H195" s="34"/>
      <x:c r="I195" s="34"/>
      <x:c r="J195" s="196" t="str">
        <x:f>IF(F195="","",'01_CONFIG'!$B$5)</x:f>
      </x:c>
      <x:c r="K195" s="200" t="str">
        <x:f>IF(OR(F195="",J195=""),"",F195*J195/1000)</x:f>
      </x:c>
      <x:c r="L195" s="34"/>
      <x:c r="M195" s="35"/>
    </x:row>
    <x:row r="196">
      <x:c r="A196" s="34"/>
      <x:c r="B196" s="78"/>
      <x:c r="C196" s="34"/>
      <x:c r="D196" s="34"/>
      <x:c r="E196" s="34"/>
      <x:c r="F196" s="79"/>
      <x:c r="G196" s="34"/>
      <x:c r="H196" s="34"/>
      <x:c r="I196" s="34"/>
      <x:c r="J196" s="196" t="str">
        <x:f>IF(F196="","",'01_CONFIG'!$B$5)</x:f>
      </x:c>
      <x:c r="K196" s="200" t="str">
        <x:f>IF(OR(F196="",J196=""),"",F196*J196/1000)</x:f>
      </x:c>
      <x:c r="L196" s="34"/>
      <x:c r="M196" s="35"/>
    </x:row>
    <x:row r="197">
      <x:c r="A197" s="34"/>
      <x:c r="B197" s="78"/>
      <x:c r="C197" s="34"/>
      <x:c r="D197" s="34"/>
      <x:c r="E197" s="34"/>
      <x:c r="F197" s="79"/>
      <x:c r="G197" s="34"/>
      <x:c r="H197" s="34"/>
      <x:c r="I197" s="34"/>
      <x:c r="J197" s="196" t="str">
        <x:f>IF(F197="","",'01_CONFIG'!$B$5)</x:f>
      </x:c>
      <x:c r="K197" s="200" t="str">
        <x:f>IF(OR(F197="",J197=""),"",F197*J197/1000)</x:f>
      </x:c>
      <x:c r="L197" s="34"/>
      <x:c r="M197" s="35"/>
    </x:row>
    <x:row r="198">
      <x:c r="A198" s="34"/>
      <x:c r="B198" s="78"/>
      <x:c r="C198" s="34"/>
      <x:c r="D198" s="34"/>
      <x:c r="E198" s="34"/>
      <x:c r="F198" s="79"/>
      <x:c r="G198" s="34"/>
      <x:c r="H198" s="34"/>
      <x:c r="I198" s="34"/>
      <x:c r="J198" s="196" t="str">
        <x:f>IF(F198="","",'01_CONFIG'!$B$5)</x:f>
      </x:c>
      <x:c r="K198" s="200" t="str">
        <x:f>IF(OR(F198="",J198=""),"",F198*J198/1000)</x:f>
      </x:c>
      <x:c r="L198" s="34"/>
      <x:c r="M198" s="35"/>
    </x:row>
    <x:row r="199">
      <x:c r="A199" s="34"/>
      <x:c r="B199" s="78"/>
      <x:c r="C199" s="34"/>
      <x:c r="D199" s="34"/>
      <x:c r="E199" s="34"/>
      <x:c r="F199" s="79"/>
      <x:c r="G199" s="34"/>
      <x:c r="H199" s="34"/>
      <x:c r="I199" s="34"/>
      <x:c r="J199" s="196" t="str">
        <x:f>IF(F199="","",'01_CONFIG'!$B$5)</x:f>
      </x:c>
      <x:c r="K199" s="200" t="str">
        <x:f>IF(OR(F199="",J199=""),"",F199*J199/1000)</x:f>
      </x:c>
      <x:c r="L199" s="34"/>
      <x:c r="M199" s="35"/>
    </x:row>
    <x:row r="200">
      <x:c r="A200" s="34"/>
      <x:c r="B200" s="78"/>
      <x:c r="C200" s="34"/>
      <x:c r="D200" s="34"/>
      <x:c r="E200" s="34"/>
      <x:c r="F200" s="79"/>
      <x:c r="G200" s="34"/>
      <x:c r="H200" s="34"/>
      <x:c r="I200" s="34"/>
      <x:c r="J200" s="196" t="str">
        <x:f>IF(F200="","",'01_CONFIG'!$B$5)</x:f>
      </x:c>
      <x:c r="K200" s="200" t="str">
        <x:f>IF(OR(F200="",J200=""),"",F200*J200/1000)</x:f>
      </x:c>
      <x:c r="L200" s="34"/>
      <x:c r="M200" s="35"/>
    </x:row>
    <x:row r="201">
      <x:c r="A201" s="34"/>
      <x:c r="B201" s="78"/>
      <x:c r="C201" s="34"/>
      <x:c r="D201" s="34"/>
      <x:c r="E201" s="34"/>
      <x:c r="F201" s="79"/>
      <x:c r="G201" s="34"/>
      <x:c r="H201" s="34"/>
      <x:c r="I201" s="34"/>
      <x:c r="J201" s="196" t="str">
        <x:f>IF(F201="","",'01_CONFIG'!$B$5)</x:f>
      </x:c>
      <x:c r="K201" s="200" t="str">
        <x:f>IF(OR(F201="",J201=""),"",F201*J201/1000)</x:f>
      </x:c>
      <x:c r="L201" s="34"/>
      <x:c r="M201" s="35"/>
    </x:row>
    <x:row r="202">
      <x:c r="A202" s="34"/>
      <x:c r="B202" s="78"/>
      <x:c r="C202" s="34"/>
      <x:c r="D202" s="34"/>
      <x:c r="E202" s="34"/>
      <x:c r="F202" s="79"/>
      <x:c r="G202" s="34"/>
      <x:c r="H202" s="34"/>
      <x:c r="I202" s="34"/>
      <x:c r="J202" s="196" t="str">
        <x:f>IF(F202="","",'01_CONFIG'!$B$5)</x:f>
      </x:c>
      <x:c r="K202" s="200" t="str">
        <x:f>IF(OR(F202="",J202=""),"",F202*J202/1000)</x:f>
      </x:c>
      <x:c r="L202" s="34"/>
      <x:c r="M202" s="35"/>
    </x:row>
    <x:row r="203">
      <x:c r="A203" s="34"/>
      <x:c r="B203" s="78"/>
      <x:c r="C203" s="34"/>
      <x:c r="D203" s="34"/>
      <x:c r="E203" s="34"/>
      <x:c r="F203" s="79"/>
      <x:c r="G203" s="34"/>
      <x:c r="H203" s="34"/>
      <x:c r="I203" s="34"/>
      <x:c r="J203" s="196" t="str">
        <x:f>IF(F203="","",'01_CONFIG'!$B$5)</x:f>
      </x:c>
      <x:c r="K203" s="200" t="str">
        <x:f>IF(OR(F203="",J203=""),"",F203*J203/1000)</x:f>
      </x:c>
      <x:c r="L203" s="34"/>
      <x:c r="M203" s="35"/>
    </x:row>
    <x:row r="204">
      <x:c r="A204" s="36"/>
      <x:c r="B204" s="82"/>
      <x:c r="C204" s="36"/>
      <x:c r="D204" s="36"/>
      <x:c r="E204" s="36"/>
      <x:c r="F204" s="83"/>
      <x:c r="G204" s="36"/>
      <x:c r="H204" s="36"/>
      <x:c r="I204" s="36"/>
      <x:c r="J204" s="197" t="str">
        <x:f>IF(F204="","",'01_CONFIG'!$B$5)</x:f>
      </x:c>
      <x:c r="K204" s="201" t="str">
        <x:f>IF(OR(F204="",J204=""),"",F204*J204/1000)</x:f>
      </x:c>
      <x:c r="L204" s="36"/>
      <x:c r="M204" s="37"/>
    </x:row>
  </x:sheetData>
  <x:mergeCells>
    <x:mergeCell ref="A1:M1"/>
    <x:mergeCell ref="A2:M2"/>
  </x:mergeCells>
  <x:dataValidations count="1">
    <x:dataValidation type="list" sqref="I5:I204">
      <x:formula1>"RECOLECTADO,PENDIENTE_ENVIAR,INCLUIDO_EN_LOTE,ANULADO"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b6ebbcad346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22" hidden="0" customWidth="1"/>
    <x:col min="5" max="5" width="18" hidden="0" customWidth="1"/>
    <x:col min="6" max="6" width="16" hidden="0" customWidth="1"/>
    <x:col min="7" max="7" width="24" hidden="0" customWidth="1"/>
    <x:col min="8" max="8" width="15" hidden="0" customWidth="1"/>
    <x:col min="9" max="9" width="15" hidden="0" customWidth="1"/>
    <x:col min="10" max="10" width="22" hidden="0" customWidth="1"/>
    <x:col min="11" max="11" width="38" hidden="0" customWidth="1"/>
    <x:col min="12" max="12" width="20" hidden="0" customWidth="1"/>
    <x:col min="13" max="13" width="38" hidden="0" customWidth="1"/>
    <x:col min="14" max="14" width="22" hidden="0" customWidth="1"/>
  </x:cols>
  <x:sheetData>
    <x:row r="1" ht="30" customHeight="1">
      <x:c r="A1" s="4" t="str">
        <x:v>PET · Lotes / despacho / pesaje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Una fila = un lote auditable. El lote avanza desde despacho hasta conciliación.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28" customHeight="1">
      <x:c r="A4" s="20" t="str">
        <x:v>lote_id</x:v>
      </x:c>
      <x:c r="B4" s="20" t="str">
        <x:v>club_id</x:v>
      </x:c>
      <x:c r="C4" s="20" t="str">
        <x:v>fecha_despacho</x:v>
      </x:c>
      <x:c r="D4" s="20" t="str">
        <x:v>responsable_salida</x:v>
      </x:c>
      <x:c r="E4" s="20" t="str">
        <x:v>botellas_enviadas</x:v>
      </x:c>
      <x:c r="F4" s="20" t="str">
        <x:v>kg_estimados</x:v>
      </x:c>
      <x:c r="G4" s="20" t="str">
        <x:v>compactadora</x:v>
      </x:c>
      <x:c r="H4" s="20" t="str">
        <x:v>fecha_recepcion</x:v>
      </x:c>
      <x:c r="I4" s="20" t="str">
        <x:v>kg_reales</x:v>
      </x:c>
      <x:c r="J4" s="20" t="str">
        <x:v>estado</x:v>
      </x:c>
      <x:c r="K4" s="20" t="str">
        <x:v>soporte_url</x:v>
      </x:c>
      <x:c r="L4" s="20" t="str">
        <x:v>usuario_cierre</x:v>
      </x:c>
      <x:c r="M4" s="20" t="str">
        <x:v>observaciones</x:v>
      </x:c>
      <x:c r="N4" s="20" t="str">
        <x:v>correction_id</x:v>
      </x:c>
    </x:row>
    <x:row r="5">
      <x:c r="A5" s="34"/>
      <x:c r="B5" s="34"/>
      <x:c r="C5" s="78"/>
      <x:c r="D5" s="34"/>
      <x:c r="E5" s="204" t="str">
        <x:f>IF(A5="","",SUMIF('02_PET_APORTES'!$H$5:$H$204,A5,'02_PET_APORTES'!$F$5:$F$204))</x:f>
      </x:c>
      <x:c r="F5" s="200" t="str">
        <x:f>IF(A5="","",SUMIF('02_PET_APORTES'!$H$5:$H$204,A5,'02_PET_APORTES'!$K$5:$K$204))</x:f>
      </x:c>
      <x:c r="G5" s="34"/>
      <x:c r="H5" s="78"/>
      <x:c r="I5" s="81"/>
      <x:c r="J5" s="34"/>
      <x:c r="K5" s="34"/>
      <x:c r="L5" s="34"/>
      <x:c r="M5" s="34"/>
      <x:c r="N5" s="35"/>
    </x:row>
    <x:row r="6">
      <x:c r="A6" s="34"/>
      <x:c r="B6" s="34"/>
      <x:c r="C6" s="78"/>
      <x:c r="D6" s="34"/>
      <x:c r="E6" s="204" t="str">
        <x:f>IF(A6="","",SUMIF('02_PET_APORTES'!$H$5:$H$204,A6,'02_PET_APORTES'!$F$5:$F$204))</x:f>
      </x:c>
      <x:c r="F6" s="200" t="str">
        <x:f>IF(A6="","",SUMIF('02_PET_APORTES'!$H$5:$H$204,A6,'02_PET_APORTES'!$K$5:$K$204))</x:f>
      </x:c>
      <x:c r="G6" s="34"/>
      <x:c r="H6" s="78"/>
      <x:c r="I6" s="81"/>
      <x:c r="J6" s="34"/>
      <x:c r="K6" s="34"/>
      <x:c r="L6" s="34"/>
      <x:c r="M6" s="34"/>
      <x:c r="N6" s="35"/>
    </x:row>
    <x:row r="7">
      <x:c r="A7" s="34"/>
      <x:c r="B7" s="34"/>
      <x:c r="C7" s="78"/>
      <x:c r="D7" s="34"/>
      <x:c r="E7" s="204" t="str">
        <x:f>IF(A7="","",SUMIF('02_PET_APORTES'!$H$5:$H$204,A7,'02_PET_APORTES'!$F$5:$F$204))</x:f>
      </x:c>
      <x:c r="F7" s="200" t="str">
        <x:f>IF(A7="","",SUMIF('02_PET_APORTES'!$H$5:$H$204,A7,'02_PET_APORTES'!$K$5:$K$204))</x:f>
      </x:c>
      <x:c r="G7" s="34"/>
      <x:c r="H7" s="78"/>
      <x:c r="I7" s="81"/>
      <x:c r="J7" s="34"/>
      <x:c r="K7" s="34"/>
      <x:c r="L7" s="34"/>
      <x:c r="M7" s="34"/>
      <x:c r="N7" s="35"/>
    </x:row>
    <x:row r="8">
      <x:c r="A8" s="34"/>
      <x:c r="B8" s="34"/>
      <x:c r="C8" s="78"/>
      <x:c r="D8" s="34"/>
      <x:c r="E8" s="204" t="str">
        <x:f>IF(A8="","",SUMIF('02_PET_APORTES'!$H$5:$H$204,A8,'02_PET_APORTES'!$F$5:$F$204))</x:f>
      </x:c>
      <x:c r="F8" s="200" t="str">
        <x:f>IF(A8="","",SUMIF('02_PET_APORTES'!$H$5:$H$204,A8,'02_PET_APORTES'!$K$5:$K$204))</x:f>
      </x:c>
      <x:c r="G8" s="34"/>
      <x:c r="H8" s="78"/>
      <x:c r="I8" s="81"/>
      <x:c r="J8" s="34"/>
      <x:c r="K8" s="34"/>
      <x:c r="L8" s="34"/>
      <x:c r="M8" s="34"/>
      <x:c r="N8" s="35"/>
    </x:row>
    <x:row r="9">
      <x:c r="A9" s="34"/>
      <x:c r="B9" s="34"/>
      <x:c r="C9" s="78"/>
      <x:c r="D9" s="34"/>
      <x:c r="E9" s="204" t="str">
        <x:f>IF(A9="","",SUMIF('02_PET_APORTES'!$H$5:$H$204,A9,'02_PET_APORTES'!$F$5:$F$204))</x:f>
      </x:c>
      <x:c r="F9" s="200" t="str">
        <x:f>IF(A9="","",SUMIF('02_PET_APORTES'!$H$5:$H$204,A9,'02_PET_APORTES'!$K$5:$K$204))</x:f>
      </x:c>
      <x:c r="G9" s="34"/>
      <x:c r="H9" s="78"/>
      <x:c r="I9" s="81"/>
      <x:c r="J9" s="34"/>
      <x:c r="K9" s="34"/>
      <x:c r="L9" s="34"/>
      <x:c r="M9" s="34"/>
      <x:c r="N9" s="35"/>
    </x:row>
    <x:row r="10">
      <x:c r="A10" s="34"/>
      <x:c r="B10" s="34"/>
      <x:c r="C10" s="78"/>
      <x:c r="D10" s="34"/>
      <x:c r="E10" s="204" t="str">
        <x:f>IF(A10="","",SUMIF('02_PET_APORTES'!$H$5:$H$204,A10,'02_PET_APORTES'!$F$5:$F$204))</x:f>
      </x:c>
      <x:c r="F10" s="200" t="str">
        <x:f>IF(A10="","",SUMIF('02_PET_APORTES'!$H$5:$H$204,A10,'02_PET_APORTES'!$K$5:$K$204))</x:f>
      </x:c>
      <x:c r="G10" s="34"/>
      <x:c r="H10" s="78"/>
      <x:c r="I10" s="81"/>
      <x:c r="J10" s="34"/>
      <x:c r="K10" s="34"/>
      <x:c r="L10" s="34"/>
      <x:c r="M10" s="34"/>
      <x:c r="N10" s="35"/>
    </x:row>
    <x:row r="11">
      <x:c r="A11" s="34"/>
      <x:c r="B11" s="34"/>
      <x:c r="C11" s="78"/>
      <x:c r="D11" s="34"/>
      <x:c r="E11" s="204" t="str">
        <x:f>IF(A11="","",SUMIF('02_PET_APORTES'!$H$5:$H$204,A11,'02_PET_APORTES'!$F$5:$F$204))</x:f>
      </x:c>
      <x:c r="F11" s="200" t="str">
        <x:f>IF(A11="","",SUMIF('02_PET_APORTES'!$H$5:$H$204,A11,'02_PET_APORTES'!$K$5:$K$204))</x:f>
      </x:c>
      <x:c r="G11" s="34"/>
      <x:c r="H11" s="78"/>
      <x:c r="I11" s="81"/>
      <x:c r="J11" s="34"/>
      <x:c r="K11" s="34"/>
      <x:c r="L11" s="34"/>
      <x:c r="M11" s="34"/>
      <x:c r="N11" s="35"/>
    </x:row>
    <x:row r="12">
      <x:c r="A12" s="34"/>
      <x:c r="B12" s="34"/>
      <x:c r="C12" s="78"/>
      <x:c r="D12" s="34"/>
      <x:c r="E12" s="204" t="str">
        <x:f>IF(A12="","",SUMIF('02_PET_APORTES'!$H$5:$H$204,A12,'02_PET_APORTES'!$F$5:$F$204))</x:f>
      </x:c>
      <x:c r="F12" s="200" t="str">
        <x:f>IF(A12="","",SUMIF('02_PET_APORTES'!$H$5:$H$204,A12,'02_PET_APORTES'!$K$5:$K$204))</x:f>
      </x:c>
      <x:c r="G12" s="34"/>
      <x:c r="H12" s="78"/>
      <x:c r="I12" s="81"/>
      <x:c r="J12" s="34"/>
      <x:c r="K12" s="34"/>
      <x:c r="L12" s="34"/>
      <x:c r="M12" s="34"/>
      <x:c r="N12" s="35"/>
    </x:row>
    <x:row r="13">
      <x:c r="A13" s="34"/>
      <x:c r="B13" s="34"/>
      <x:c r="C13" s="78"/>
      <x:c r="D13" s="34"/>
      <x:c r="E13" s="204" t="str">
        <x:f>IF(A13="","",SUMIF('02_PET_APORTES'!$H$5:$H$204,A13,'02_PET_APORTES'!$F$5:$F$204))</x:f>
      </x:c>
      <x:c r="F13" s="200" t="str">
        <x:f>IF(A13="","",SUMIF('02_PET_APORTES'!$H$5:$H$204,A13,'02_PET_APORTES'!$K$5:$K$204))</x:f>
      </x:c>
      <x:c r="G13" s="34"/>
      <x:c r="H13" s="78"/>
      <x:c r="I13" s="81"/>
      <x:c r="J13" s="34"/>
      <x:c r="K13" s="34"/>
      <x:c r="L13" s="34"/>
      <x:c r="M13" s="34"/>
      <x:c r="N13" s="35"/>
    </x:row>
    <x:row r="14">
      <x:c r="A14" s="34"/>
      <x:c r="B14" s="34"/>
      <x:c r="C14" s="78"/>
      <x:c r="D14" s="34"/>
      <x:c r="E14" s="204" t="str">
        <x:f>IF(A14="","",SUMIF('02_PET_APORTES'!$H$5:$H$204,A14,'02_PET_APORTES'!$F$5:$F$204))</x:f>
      </x:c>
      <x:c r="F14" s="200" t="str">
        <x:f>IF(A14="","",SUMIF('02_PET_APORTES'!$H$5:$H$204,A14,'02_PET_APORTES'!$K$5:$K$204))</x:f>
      </x:c>
      <x:c r="G14" s="34"/>
      <x:c r="H14" s="78"/>
      <x:c r="I14" s="81"/>
      <x:c r="J14" s="34"/>
      <x:c r="K14" s="34"/>
      <x:c r="L14" s="34"/>
      <x:c r="M14" s="34"/>
      <x:c r="N14" s="35"/>
    </x:row>
    <x:row r="15">
      <x:c r="A15" s="34"/>
      <x:c r="B15" s="34"/>
      <x:c r="C15" s="78"/>
      <x:c r="D15" s="34"/>
      <x:c r="E15" s="204" t="str">
        <x:f>IF(A15="","",SUMIF('02_PET_APORTES'!$H$5:$H$204,A15,'02_PET_APORTES'!$F$5:$F$204))</x:f>
      </x:c>
      <x:c r="F15" s="200" t="str">
        <x:f>IF(A15="","",SUMIF('02_PET_APORTES'!$H$5:$H$204,A15,'02_PET_APORTES'!$K$5:$K$204))</x:f>
      </x:c>
      <x:c r="G15" s="34"/>
      <x:c r="H15" s="78"/>
      <x:c r="I15" s="81"/>
      <x:c r="J15" s="34"/>
      <x:c r="K15" s="34"/>
      <x:c r="L15" s="34"/>
      <x:c r="M15" s="34"/>
      <x:c r="N15" s="35"/>
    </x:row>
    <x:row r="16">
      <x:c r="A16" s="34"/>
      <x:c r="B16" s="34"/>
      <x:c r="C16" s="78"/>
      <x:c r="D16" s="34"/>
      <x:c r="E16" s="204" t="str">
        <x:f>IF(A16="","",SUMIF('02_PET_APORTES'!$H$5:$H$204,A16,'02_PET_APORTES'!$F$5:$F$204))</x:f>
      </x:c>
      <x:c r="F16" s="200" t="str">
        <x:f>IF(A16="","",SUMIF('02_PET_APORTES'!$H$5:$H$204,A16,'02_PET_APORTES'!$K$5:$K$204))</x:f>
      </x:c>
      <x:c r="G16" s="34"/>
      <x:c r="H16" s="78"/>
      <x:c r="I16" s="81"/>
      <x:c r="J16" s="34"/>
      <x:c r="K16" s="34"/>
      <x:c r="L16" s="34"/>
      <x:c r="M16" s="34"/>
      <x:c r="N16" s="35"/>
    </x:row>
    <x:row r="17">
      <x:c r="A17" s="34"/>
      <x:c r="B17" s="34"/>
      <x:c r="C17" s="78"/>
      <x:c r="D17" s="34"/>
      <x:c r="E17" s="204" t="str">
        <x:f>IF(A17="","",SUMIF('02_PET_APORTES'!$H$5:$H$204,A17,'02_PET_APORTES'!$F$5:$F$204))</x:f>
      </x:c>
      <x:c r="F17" s="200" t="str">
        <x:f>IF(A17="","",SUMIF('02_PET_APORTES'!$H$5:$H$204,A17,'02_PET_APORTES'!$K$5:$K$204))</x:f>
      </x:c>
      <x:c r="G17" s="34"/>
      <x:c r="H17" s="78"/>
      <x:c r="I17" s="81"/>
      <x:c r="J17" s="34"/>
      <x:c r="K17" s="34"/>
      <x:c r="L17" s="34"/>
      <x:c r="M17" s="34"/>
      <x:c r="N17" s="35"/>
    </x:row>
    <x:row r="18">
      <x:c r="A18" s="34"/>
      <x:c r="B18" s="34"/>
      <x:c r="C18" s="78"/>
      <x:c r="D18" s="34"/>
      <x:c r="E18" s="204" t="str">
        <x:f>IF(A18="","",SUMIF('02_PET_APORTES'!$H$5:$H$204,A18,'02_PET_APORTES'!$F$5:$F$204))</x:f>
      </x:c>
      <x:c r="F18" s="200" t="str">
        <x:f>IF(A18="","",SUMIF('02_PET_APORTES'!$H$5:$H$204,A18,'02_PET_APORTES'!$K$5:$K$204))</x:f>
      </x:c>
      <x:c r="G18" s="34"/>
      <x:c r="H18" s="78"/>
      <x:c r="I18" s="81"/>
      <x:c r="J18" s="34"/>
      <x:c r="K18" s="34"/>
      <x:c r="L18" s="34"/>
      <x:c r="M18" s="34"/>
      <x:c r="N18" s="35"/>
    </x:row>
    <x:row r="19">
      <x:c r="A19" s="34"/>
      <x:c r="B19" s="34"/>
      <x:c r="C19" s="78"/>
      <x:c r="D19" s="34"/>
      <x:c r="E19" s="204" t="str">
        <x:f>IF(A19="","",SUMIF('02_PET_APORTES'!$H$5:$H$204,A19,'02_PET_APORTES'!$F$5:$F$204))</x:f>
      </x:c>
      <x:c r="F19" s="200" t="str">
        <x:f>IF(A19="","",SUMIF('02_PET_APORTES'!$H$5:$H$204,A19,'02_PET_APORTES'!$K$5:$K$204))</x:f>
      </x:c>
      <x:c r="G19" s="34"/>
      <x:c r="H19" s="78"/>
      <x:c r="I19" s="81"/>
      <x:c r="J19" s="34"/>
      <x:c r="K19" s="34"/>
      <x:c r="L19" s="34"/>
      <x:c r="M19" s="34"/>
      <x:c r="N19" s="35"/>
    </x:row>
    <x:row r="20">
      <x:c r="A20" s="34"/>
      <x:c r="B20" s="34"/>
      <x:c r="C20" s="78"/>
      <x:c r="D20" s="34"/>
      <x:c r="E20" s="204" t="str">
        <x:f>IF(A20="","",SUMIF('02_PET_APORTES'!$H$5:$H$204,A20,'02_PET_APORTES'!$F$5:$F$204))</x:f>
      </x:c>
      <x:c r="F20" s="200" t="str">
        <x:f>IF(A20="","",SUMIF('02_PET_APORTES'!$H$5:$H$204,A20,'02_PET_APORTES'!$K$5:$K$204))</x:f>
      </x:c>
      <x:c r="G20" s="34"/>
      <x:c r="H20" s="78"/>
      <x:c r="I20" s="81"/>
      <x:c r="J20" s="34"/>
      <x:c r="K20" s="34"/>
      <x:c r="L20" s="34"/>
      <x:c r="M20" s="34"/>
      <x:c r="N20" s="35"/>
    </x:row>
    <x:row r="21">
      <x:c r="A21" s="34"/>
      <x:c r="B21" s="34"/>
      <x:c r="C21" s="78"/>
      <x:c r="D21" s="34"/>
      <x:c r="E21" s="204" t="str">
        <x:f>IF(A21="","",SUMIF('02_PET_APORTES'!$H$5:$H$204,A21,'02_PET_APORTES'!$F$5:$F$204))</x:f>
      </x:c>
      <x:c r="F21" s="200" t="str">
        <x:f>IF(A21="","",SUMIF('02_PET_APORTES'!$H$5:$H$204,A21,'02_PET_APORTES'!$K$5:$K$204))</x:f>
      </x:c>
      <x:c r="G21" s="34"/>
      <x:c r="H21" s="78"/>
      <x:c r="I21" s="81"/>
      <x:c r="J21" s="34"/>
      <x:c r="K21" s="34"/>
      <x:c r="L21" s="34"/>
      <x:c r="M21" s="34"/>
      <x:c r="N21" s="35"/>
    </x:row>
    <x:row r="22">
      <x:c r="A22" s="34"/>
      <x:c r="B22" s="34"/>
      <x:c r="C22" s="78"/>
      <x:c r="D22" s="34"/>
      <x:c r="E22" s="204" t="str">
        <x:f>IF(A22="","",SUMIF('02_PET_APORTES'!$H$5:$H$204,A22,'02_PET_APORTES'!$F$5:$F$204))</x:f>
      </x:c>
      <x:c r="F22" s="200" t="str">
        <x:f>IF(A22="","",SUMIF('02_PET_APORTES'!$H$5:$H$204,A22,'02_PET_APORTES'!$K$5:$K$204))</x:f>
      </x:c>
      <x:c r="G22" s="34"/>
      <x:c r="H22" s="78"/>
      <x:c r="I22" s="81"/>
      <x:c r="J22" s="34"/>
      <x:c r="K22" s="34"/>
      <x:c r="L22" s="34"/>
      <x:c r="M22" s="34"/>
      <x:c r="N22" s="35"/>
    </x:row>
    <x:row r="23">
      <x:c r="A23" s="34"/>
      <x:c r="B23" s="34"/>
      <x:c r="C23" s="78"/>
      <x:c r="D23" s="34"/>
      <x:c r="E23" s="204" t="str">
        <x:f>IF(A23="","",SUMIF('02_PET_APORTES'!$H$5:$H$204,A23,'02_PET_APORTES'!$F$5:$F$204))</x:f>
      </x:c>
      <x:c r="F23" s="200" t="str">
        <x:f>IF(A23="","",SUMIF('02_PET_APORTES'!$H$5:$H$204,A23,'02_PET_APORTES'!$K$5:$K$204))</x:f>
      </x:c>
      <x:c r="G23" s="34"/>
      <x:c r="H23" s="78"/>
      <x:c r="I23" s="81"/>
      <x:c r="J23" s="34"/>
      <x:c r="K23" s="34"/>
      <x:c r="L23" s="34"/>
      <x:c r="M23" s="34"/>
      <x:c r="N23" s="35"/>
    </x:row>
    <x:row r="24">
      <x:c r="A24" s="34"/>
      <x:c r="B24" s="34"/>
      <x:c r="C24" s="78"/>
      <x:c r="D24" s="34"/>
      <x:c r="E24" s="204" t="str">
        <x:f>IF(A24="","",SUMIF('02_PET_APORTES'!$H$5:$H$204,A24,'02_PET_APORTES'!$F$5:$F$204))</x:f>
      </x:c>
      <x:c r="F24" s="200" t="str">
        <x:f>IF(A24="","",SUMIF('02_PET_APORTES'!$H$5:$H$204,A24,'02_PET_APORTES'!$K$5:$K$204))</x:f>
      </x:c>
      <x:c r="G24" s="34"/>
      <x:c r="H24" s="78"/>
      <x:c r="I24" s="81"/>
      <x:c r="J24" s="34"/>
      <x:c r="K24" s="34"/>
      <x:c r="L24" s="34"/>
      <x:c r="M24" s="34"/>
      <x:c r="N24" s="35"/>
    </x:row>
    <x:row r="25">
      <x:c r="A25" s="34"/>
      <x:c r="B25" s="34"/>
      <x:c r="C25" s="78"/>
      <x:c r="D25" s="34"/>
      <x:c r="E25" s="204" t="str">
        <x:f>IF(A25="","",SUMIF('02_PET_APORTES'!$H$5:$H$204,A25,'02_PET_APORTES'!$F$5:$F$204))</x:f>
      </x:c>
      <x:c r="F25" s="200" t="str">
        <x:f>IF(A25="","",SUMIF('02_PET_APORTES'!$H$5:$H$204,A25,'02_PET_APORTES'!$K$5:$K$204))</x:f>
      </x:c>
      <x:c r="G25" s="34"/>
      <x:c r="H25" s="78"/>
      <x:c r="I25" s="81"/>
      <x:c r="J25" s="34"/>
      <x:c r="K25" s="34"/>
      <x:c r="L25" s="34"/>
      <x:c r="M25" s="34"/>
      <x:c r="N25" s="35"/>
    </x:row>
    <x:row r="26">
      <x:c r="A26" s="34"/>
      <x:c r="B26" s="34"/>
      <x:c r="C26" s="78"/>
      <x:c r="D26" s="34"/>
      <x:c r="E26" s="204" t="str">
        <x:f>IF(A26="","",SUMIF('02_PET_APORTES'!$H$5:$H$204,A26,'02_PET_APORTES'!$F$5:$F$204))</x:f>
      </x:c>
      <x:c r="F26" s="200" t="str">
        <x:f>IF(A26="","",SUMIF('02_PET_APORTES'!$H$5:$H$204,A26,'02_PET_APORTES'!$K$5:$K$204))</x:f>
      </x:c>
      <x:c r="G26" s="34"/>
      <x:c r="H26" s="78"/>
      <x:c r="I26" s="81"/>
      <x:c r="J26" s="34"/>
      <x:c r="K26" s="34"/>
      <x:c r="L26" s="34"/>
      <x:c r="M26" s="34"/>
      <x:c r="N26" s="35"/>
    </x:row>
    <x:row r="27">
      <x:c r="A27" s="34"/>
      <x:c r="B27" s="34"/>
      <x:c r="C27" s="78"/>
      <x:c r="D27" s="34"/>
      <x:c r="E27" s="204" t="str">
        <x:f>IF(A27="","",SUMIF('02_PET_APORTES'!$H$5:$H$204,A27,'02_PET_APORTES'!$F$5:$F$204))</x:f>
      </x:c>
      <x:c r="F27" s="200" t="str">
        <x:f>IF(A27="","",SUMIF('02_PET_APORTES'!$H$5:$H$204,A27,'02_PET_APORTES'!$K$5:$K$204))</x:f>
      </x:c>
      <x:c r="G27" s="34"/>
      <x:c r="H27" s="78"/>
      <x:c r="I27" s="81"/>
      <x:c r="J27" s="34"/>
      <x:c r="K27" s="34"/>
      <x:c r="L27" s="34"/>
      <x:c r="M27" s="34"/>
      <x:c r="N27" s="35"/>
    </x:row>
    <x:row r="28">
      <x:c r="A28" s="34"/>
      <x:c r="B28" s="34"/>
      <x:c r="C28" s="78"/>
      <x:c r="D28" s="34"/>
      <x:c r="E28" s="204" t="str">
        <x:f>IF(A28="","",SUMIF('02_PET_APORTES'!$H$5:$H$204,A28,'02_PET_APORTES'!$F$5:$F$204))</x:f>
      </x:c>
      <x:c r="F28" s="200" t="str">
        <x:f>IF(A28="","",SUMIF('02_PET_APORTES'!$H$5:$H$204,A28,'02_PET_APORTES'!$K$5:$K$204))</x:f>
      </x:c>
      <x:c r="G28" s="34"/>
      <x:c r="H28" s="78"/>
      <x:c r="I28" s="81"/>
      <x:c r="J28" s="34"/>
      <x:c r="K28" s="34"/>
      <x:c r="L28" s="34"/>
      <x:c r="M28" s="34"/>
      <x:c r="N28" s="35"/>
    </x:row>
    <x:row r="29">
      <x:c r="A29" s="34"/>
      <x:c r="B29" s="34"/>
      <x:c r="C29" s="78"/>
      <x:c r="D29" s="34"/>
      <x:c r="E29" s="204" t="str">
        <x:f>IF(A29="","",SUMIF('02_PET_APORTES'!$H$5:$H$204,A29,'02_PET_APORTES'!$F$5:$F$204))</x:f>
      </x:c>
      <x:c r="F29" s="200" t="str">
        <x:f>IF(A29="","",SUMIF('02_PET_APORTES'!$H$5:$H$204,A29,'02_PET_APORTES'!$K$5:$K$204))</x:f>
      </x:c>
      <x:c r="G29" s="34"/>
      <x:c r="H29" s="78"/>
      <x:c r="I29" s="81"/>
      <x:c r="J29" s="34"/>
      <x:c r="K29" s="34"/>
      <x:c r="L29" s="34"/>
      <x:c r="M29" s="34"/>
      <x:c r="N29" s="35"/>
    </x:row>
    <x:row r="30">
      <x:c r="A30" s="34"/>
      <x:c r="B30" s="34"/>
      <x:c r="C30" s="78"/>
      <x:c r="D30" s="34"/>
      <x:c r="E30" s="204" t="str">
        <x:f>IF(A30="","",SUMIF('02_PET_APORTES'!$H$5:$H$204,A30,'02_PET_APORTES'!$F$5:$F$204))</x:f>
      </x:c>
      <x:c r="F30" s="200" t="str">
        <x:f>IF(A30="","",SUMIF('02_PET_APORTES'!$H$5:$H$204,A30,'02_PET_APORTES'!$K$5:$K$204))</x:f>
      </x:c>
      <x:c r="G30" s="34"/>
      <x:c r="H30" s="78"/>
      <x:c r="I30" s="81"/>
      <x:c r="J30" s="34"/>
      <x:c r="K30" s="34"/>
      <x:c r="L30" s="34"/>
      <x:c r="M30" s="34"/>
      <x:c r="N30" s="35"/>
    </x:row>
    <x:row r="31">
      <x:c r="A31" s="34"/>
      <x:c r="B31" s="34"/>
      <x:c r="C31" s="78"/>
      <x:c r="D31" s="34"/>
      <x:c r="E31" s="204" t="str">
        <x:f>IF(A31="","",SUMIF('02_PET_APORTES'!$H$5:$H$204,A31,'02_PET_APORTES'!$F$5:$F$204))</x:f>
      </x:c>
      <x:c r="F31" s="200" t="str">
        <x:f>IF(A31="","",SUMIF('02_PET_APORTES'!$H$5:$H$204,A31,'02_PET_APORTES'!$K$5:$K$204))</x:f>
      </x:c>
      <x:c r="G31" s="34"/>
      <x:c r="H31" s="78"/>
      <x:c r="I31" s="81"/>
      <x:c r="J31" s="34"/>
      <x:c r="K31" s="34"/>
      <x:c r="L31" s="34"/>
      <x:c r="M31" s="34"/>
      <x:c r="N31" s="35"/>
    </x:row>
    <x:row r="32">
      <x:c r="A32" s="34"/>
      <x:c r="B32" s="34"/>
      <x:c r="C32" s="78"/>
      <x:c r="D32" s="34"/>
      <x:c r="E32" s="204" t="str">
        <x:f>IF(A32="","",SUMIF('02_PET_APORTES'!$H$5:$H$204,A32,'02_PET_APORTES'!$F$5:$F$204))</x:f>
      </x:c>
      <x:c r="F32" s="200" t="str">
        <x:f>IF(A32="","",SUMIF('02_PET_APORTES'!$H$5:$H$204,A32,'02_PET_APORTES'!$K$5:$K$204))</x:f>
      </x:c>
      <x:c r="G32" s="34"/>
      <x:c r="H32" s="78"/>
      <x:c r="I32" s="81"/>
      <x:c r="J32" s="34"/>
      <x:c r="K32" s="34"/>
      <x:c r="L32" s="34"/>
      <x:c r="M32" s="34"/>
      <x:c r="N32" s="35"/>
    </x:row>
    <x:row r="33">
      <x:c r="A33" s="34"/>
      <x:c r="B33" s="34"/>
      <x:c r="C33" s="78"/>
      <x:c r="D33" s="34"/>
      <x:c r="E33" s="204" t="str">
        <x:f>IF(A33="","",SUMIF('02_PET_APORTES'!$H$5:$H$204,A33,'02_PET_APORTES'!$F$5:$F$204))</x:f>
      </x:c>
      <x:c r="F33" s="200" t="str">
        <x:f>IF(A33="","",SUMIF('02_PET_APORTES'!$H$5:$H$204,A33,'02_PET_APORTES'!$K$5:$K$204))</x:f>
      </x:c>
      <x:c r="G33" s="34"/>
      <x:c r="H33" s="78"/>
      <x:c r="I33" s="81"/>
      <x:c r="J33" s="34"/>
      <x:c r="K33" s="34"/>
      <x:c r="L33" s="34"/>
      <x:c r="M33" s="34"/>
      <x:c r="N33" s="35"/>
    </x:row>
    <x:row r="34">
      <x:c r="A34" s="34"/>
      <x:c r="B34" s="34"/>
      <x:c r="C34" s="78"/>
      <x:c r="D34" s="34"/>
      <x:c r="E34" s="204" t="str">
        <x:f>IF(A34="","",SUMIF('02_PET_APORTES'!$H$5:$H$204,A34,'02_PET_APORTES'!$F$5:$F$204))</x:f>
      </x:c>
      <x:c r="F34" s="200" t="str">
        <x:f>IF(A34="","",SUMIF('02_PET_APORTES'!$H$5:$H$204,A34,'02_PET_APORTES'!$K$5:$K$204))</x:f>
      </x:c>
      <x:c r="G34" s="34"/>
      <x:c r="H34" s="78"/>
      <x:c r="I34" s="81"/>
      <x:c r="J34" s="34"/>
      <x:c r="K34" s="34"/>
      <x:c r="L34" s="34"/>
      <x:c r="M34" s="34"/>
      <x:c r="N34" s="35"/>
    </x:row>
    <x:row r="35">
      <x:c r="A35" s="34"/>
      <x:c r="B35" s="34"/>
      <x:c r="C35" s="78"/>
      <x:c r="D35" s="34"/>
      <x:c r="E35" s="204" t="str">
        <x:f>IF(A35="","",SUMIF('02_PET_APORTES'!$H$5:$H$204,A35,'02_PET_APORTES'!$F$5:$F$204))</x:f>
      </x:c>
      <x:c r="F35" s="200" t="str">
        <x:f>IF(A35="","",SUMIF('02_PET_APORTES'!$H$5:$H$204,A35,'02_PET_APORTES'!$K$5:$K$204))</x:f>
      </x:c>
      <x:c r="G35" s="34"/>
      <x:c r="H35" s="78"/>
      <x:c r="I35" s="81"/>
      <x:c r="J35" s="34"/>
      <x:c r="K35" s="34"/>
      <x:c r="L35" s="34"/>
      <x:c r="M35" s="34"/>
      <x:c r="N35" s="35"/>
    </x:row>
    <x:row r="36">
      <x:c r="A36" s="34"/>
      <x:c r="B36" s="34"/>
      <x:c r="C36" s="78"/>
      <x:c r="D36" s="34"/>
      <x:c r="E36" s="204" t="str">
        <x:f>IF(A36="","",SUMIF('02_PET_APORTES'!$H$5:$H$204,A36,'02_PET_APORTES'!$F$5:$F$204))</x:f>
      </x:c>
      <x:c r="F36" s="200" t="str">
        <x:f>IF(A36="","",SUMIF('02_PET_APORTES'!$H$5:$H$204,A36,'02_PET_APORTES'!$K$5:$K$204))</x:f>
      </x:c>
      <x:c r="G36" s="34"/>
      <x:c r="H36" s="78"/>
      <x:c r="I36" s="81"/>
      <x:c r="J36" s="34"/>
      <x:c r="K36" s="34"/>
      <x:c r="L36" s="34"/>
      <x:c r="M36" s="34"/>
      <x:c r="N36" s="35"/>
    </x:row>
    <x:row r="37">
      <x:c r="A37" s="34"/>
      <x:c r="B37" s="34"/>
      <x:c r="C37" s="78"/>
      <x:c r="D37" s="34"/>
      <x:c r="E37" s="204" t="str">
        <x:f>IF(A37="","",SUMIF('02_PET_APORTES'!$H$5:$H$204,A37,'02_PET_APORTES'!$F$5:$F$204))</x:f>
      </x:c>
      <x:c r="F37" s="200" t="str">
        <x:f>IF(A37="","",SUMIF('02_PET_APORTES'!$H$5:$H$204,A37,'02_PET_APORTES'!$K$5:$K$204))</x:f>
      </x:c>
      <x:c r="G37" s="34"/>
      <x:c r="H37" s="78"/>
      <x:c r="I37" s="81"/>
      <x:c r="J37" s="34"/>
      <x:c r="K37" s="34"/>
      <x:c r="L37" s="34"/>
      <x:c r="M37" s="34"/>
      <x:c r="N37" s="35"/>
    </x:row>
    <x:row r="38">
      <x:c r="A38" s="34"/>
      <x:c r="B38" s="34"/>
      <x:c r="C38" s="78"/>
      <x:c r="D38" s="34"/>
      <x:c r="E38" s="204" t="str">
        <x:f>IF(A38="","",SUMIF('02_PET_APORTES'!$H$5:$H$204,A38,'02_PET_APORTES'!$F$5:$F$204))</x:f>
      </x:c>
      <x:c r="F38" s="200" t="str">
        <x:f>IF(A38="","",SUMIF('02_PET_APORTES'!$H$5:$H$204,A38,'02_PET_APORTES'!$K$5:$K$204))</x:f>
      </x:c>
      <x:c r="G38" s="34"/>
      <x:c r="H38" s="78"/>
      <x:c r="I38" s="81"/>
      <x:c r="J38" s="34"/>
      <x:c r="K38" s="34"/>
      <x:c r="L38" s="34"/>
      <x:c r="M38" s="34"/>
      <x:c r="N38" s="35"/>
    </x:row>
    <x:row r="39">
      <x:c r="A39" s="34"/>
      <x:c r="B39" s="34"/>
      <x:c r="C39" s="78"/>
      <x:c r="D39" s="34"/>
      <x:c r="E39" s="204" t="str">
        <x:f>IF(A39="","",SUMIF('02_PET_APORTES'!$H$5:$H$204,A39,'02_PET_APORTES'!$F$5:$F$204))</x:f>
      </x:c>
      <x:c r="F39" s="200" t="str">
        <x:f>IF(A39="","",SUMIF('02_PET_APORTES'!$H$5:$H$204,A39,'02_PET_APORTES'!$K$5:$K$204))</x:f>
      </x:c>
      <x:c r="G39" s="34"/>
      <x:c r="H39" s="78"/>
      <x:c r="I39" s="81"/>
      <x:c r="J39" s="34"/>
      <x:c r="K39" s="34"/>
      <x:c r="L39" s="34"/>
      <x:c r="M39" s="34"/>
      <x:c r="N39" s="35"/>
    </x:row>
    <x:row r="40">
      <x:c r="A40" s="34"/>
      <x:c r="B40" s="34"/>
      <x:c r="C40" s="78"/>
      <x:c r="D40" s="34"/>
      <x:c r="E40" s="204" t="str">
        <x:f>IF(A40="","",SUMIF('02_PET_APORTES'!$H$5:$H$204,A40,'02_PET_APORTES'!$F$5:$F$204))</x:f>
      </x:c>
      <x:c r="F40" s="200" t="str">
        <x:f>IF(A40="","",SUMIF('02_PET_APORTES'!$H$5:$H$204,A40,'02_PET_APORTES'!$K$5:$K$204))</x:f>
      </x:c>
      <x:c r="G40" s="34"/>
      <x:c r="H40" s="78"/>
      <x:c r="I40" s="81"/>
      <x:c r="J40" s="34"/>
      <x:c r="K40" s="34"/>
      <x:c r="L40" s="34"/>
      <x:c r="M40" s="34"/>
      <x:c r="N40" s="35"/>
    </x:row>
    <x:row r="41">
      <x:c r="A41" s="34"/>
      <x:c r="B41" s="34"/>
      <x:c r="C41" s="78"/>
      <x:c r="D41" s="34"/>
      <x:c r="E41" s="204" t="str">
        <x:f>IF(A41="","",SUMIF('02_PET_APORTES'!$H$5:$H$204,A41,'02_PET_APORTES'!$F$5:$F$204))</x:f>
      </x:c>
      <x:c r="F41" s="200" t="str">
        <x:f>IF(A41="","",SUMIF('02_PET_APORTES'!$H$5:$H$204,A41,'02_PET_APORTES'!$K$5:$K$204))</x:f>
      </x:c>
      <x:c r="G41" s="34"/>
      <x:c r="H41" s="78"/>
      <x:c r="I41" s="81"/>
      <x:c r="J41" s="34"/>
      <x:c r="K41" s="34"/>
      <x:c r="L41" s="34"/>
      <x:c r="M41" s="34"/>
      <x:c r="N41" s="35"/>
    </x:row>
    <x:row r="42">
      <x:c r="A42" s="34"/>
      <x:c r="B42" s="34"/>
      <x:c r="C42" s="78"/>
      <x:c r="D42" s="34"/>
      <x:c r="E42" s="204" t="str">
        <x:f>IF(A42="","",SUMIF('02_PET_APORTES'!$H$5:$H$204,A42,'02_PET_APORTES'!$F$5:$F$204))</x:f>
      </x:c>
      <x:c r="F42" s="200" t="str">
        <x:f>IF(A42="","",SUMIF('02_PET_APORTES'!$H$5:$H$204,A42,'02_PET_APORTES'!$K$5:$K$204))</x:f>
      </x:c>
      <x:c r="G42" s="34"/>
      <x:c r="H42" s="78"/>
      <x:c r="I42" s="81"/>
      <x:c r="J42" s="34"/>
      <x:c r="K42" s="34"/>
      <x:c r="L42" s="34"/>
      <x:c r="M42" s="34"/>
      <x:c r="N42" s="35"/>
    </x:row>
    <x:row r="43">
      <x:c r="A43" s="34"/>
      <x:c r="B43" s="34"/>
      <x:c r="C43" s="78"/>
      <x:c r="D43" s="34"/>
      <x:c r="E43" s="204" t="str">
        <x:f>IF(A43="","",SUMIF('02_PET_APORTES'!$H$5:$H$204,A43,'02_PET_APORTES'!$F$5:$F$204))</x:f>
      </x:c>
      <x:c r="F43" s="200" t="str">
        <x:f>IF(A43="","",SUMIF('02_PET_APORTES'!$H$5:$H$204,A43,'02_PET_APORTES'!$K$5:$K$204))</x:f>
      </x:c>
      <x:c r="G43" s="34"/>
      <x:c r="H43" s="78"/>
      <x:c r="I43" s="81"/>
      <x:c r="J43" s="34"/>
      <x:c r="K43" s="34"/>
      <x:c r="L43" s="34"/>
      <x:c r="M43" s="34"/>
      <x:c r="N43" s="35"/>
    </x:row>
    <x:row r="44">
      <x:c r="A44" s="34"/>
      <x:c r="B44" s="34"/>
      <x:c r="C44" s="78"/>
      <x:c r="D44" s="34"/>
      <x:c r="E44" s="204" t="str">
        <x:f>IF(A44="","",SUMIF('02_PET_APORTES'!$H$5:$H$204,A44,'02_PET_APORTES'!$F$5:$F$204))</x:f>
      </x:c>
      <x:c r="F44" s="200" t="str">
        <x:f>IF(A44="","",SUMIF('02_PET_APORTES'!$H$5:$H$204,A44,'02_PET_APORTES'!$K$5:$K$204))</x:f>
      </x:c>
      <x:c r="G44" s="34"/>
      <x:c r="H44" s="78"/>
      <x:c r="I44" s="81"/>
      <x:c r="J44" s="34"/>
      <x:c r="K44" s="34"/>
      <x:c r="L44" s="34"/>
      <x:c r="M44" s="34"/>
      <x:c r="N44" s="35"/>
    </x:row>
    <x:row r="45">
      <x:c r="A45" s="34"/>
      <x:c r="B45" s="34"/>
      <x:c r="C45" s="78"/>
      <x:c r="D45" s="34"/>
      <x:c r="E45" s="204" t="str">
        <x:f>IF(A45="","",SUMIF('02_PET_APORTES'!$H$5:$H$204,A45,'02_PET_APORTES'!$F$5:$F$204))</x:f>
      </x:c>
      <x:c r="F45" s="200" t="str">
        <x:f>IF(A45="","",SUMIF('02_PET_APORTES'!$H$5:$H$204,A45,'02_PET_APORTES'!$K$5:$K$204))</x:f>
      </x:c>
      <x:c r="G45" s="34"/>
      <x:c r="H45" s="78"/>
      <x:c r="I45" s="81"/>
      <x:c r="J45" s="34"/>
      <x:c r="K45" s="34"/>
      <x:c r="L45" s="34"/>
      <x:c r="M45" s="34"/>
      <x:c r="N45" s="35"/>
    </x:row>
    <x:row r="46">
      <x:c r="A46" s="34"/>
      <x:c r="B46" s="34"/>
      <x:c r="C46" s="78"/>
      <x:c r="D46" s="34"/>
      <x:c r="E46" s="204" t="str">
        <x:f>IF(A46="","",SUMIF('02_PET_APORTES'!$H$5:$H$204,A46,'02_PET_APORTES'!$F$5:$F$204))</x:f>
      </x:c>
      <x:c r="F46" s="200" t="str">
        <x:f>IF(A46="","",SUMIF('02_PET_APORTES'!$H$5:$H$204,A46,'02_PET_APORTES'!$K$5:$K$204))</x:f>
      </x:c>
      <x:c r="G46" s="34"/>
      <x:c r="H46" s="78"/>
      <x:c r="I46" s="81"/>
      <x:c r="J46" s="34"/>
      <x:c r="K46" s="34"/>
      <x:c r="L46" s="34"/>
      <x:c r="M46" s="34"/>
      <x:c r="N46" s="35"/>
    </x:row>
    <x:row r="47">
      <x:c r="A47" s="34"/>
      <x:c r="B47" s="34"/>
      <x:c r="C47" s="78"/>
      <x:c r="D47" s="34"/>
      <x:c r="E47" s="204" t="str">
        <x:f>IF(A47="","",SUMIF('02_PET_APORTES'!$H$5:$H$204,A47,'02_PET_APORTES'!$F$5:$F$204))</x:f>
      </x:c>
      <x:c r="F47" s="200" t="str">
        <x:f>IF(A47="","",SUMIF('02_PET_APORTES'!$H$5:$H$204,A47,'02_PET_APORTES'!$K$5:$K$204))</x:f>
      </x:c>
      <x:c r="G47" s="34"/>
      <x:c r="H47" s="78"/>
      <x:c r="I47" s="81"/>
      <x:c r="J47" s="34"/>
      <x:c r="K47" s="34"/>
      <x:c r="L47" s="34"/>
      <x:c r="M47" s="34"/>
      <x:c r="N47" s="35"/>
    </x:row>
    <x:row r="48">
      <x:c r="A48" s="34"/>
      <x:c r="B48" s="34"/>
      <x:c r="C48" s="78"/>
      <x:c r="D48" s="34"/>
      <x:c r="E48" s="204" t="str">
        <x:f>IF(A48="","",SUMIF('02_PET_APORTES'!$H$5:$H$204,A48,'02_PET_APORTES'!$F$5:$F$204))</x:f>
      </x:c>
      <x:c r="F48" s="200" t="str">
        <x:f>IF(A48="","",SUMIF('02_PET_APORTES'!$H$5:$H$204,A48,'02_PET_APORTES'!$K$5:$K$204))</x:f>
      </x:c>
      <x:c r="G48" s="34"/>
      <x:c r="H48" s="78"/>
      <x:c r="I48" s="81"/>
      <x:c r="J48" s="34"/>
      <x:c r="K48" s="34"/>
      <x:c r="L48" s="34"/>
      <x:c r="M48" s="34"/>
      <x:c r="N48" s="35"/>
    </x:row>
    <x:row r="49">
      <x:c r="A49" s="34"/>
      <x:c r="B49" s="34"/>
      <x:c r="C49" s="78"/>
      <x:c r="D49" s="34"/>
      <x:c r="E49" s="204" t="str">
        <x:f>IF(A49="","",SUMIF('02_PET_APORTES'!$H$5:$H$204,A49,'02_PET_APORTES'!$F$5:$F$204))</x:f>
      </x:c>
      <x:c r="F49" s="200" t="str">
        <x:f>IF(A49="","",SUMIF('02_PET_APORTES'!$H$5:$H$204,A49,'02_PET_APORTES'!$K$5:$K$204))</x:f>
      </x:c>
      <x:c r="G49" s="34"/>
      <x:c r="H49" s="78"/>
      <x:c r="I49" s="81"/>
      <x:c r="J49" s="34"/>
      <x:c r="K49" s="34"/>
      <x:c r="L49" s="34"/>
      <x:c r="M49" s="34"/>
      <x:c r="N49" s="35"/>
    </x:row>
    <x:row r="50">
      <x:c r="A50" s="34"/>
      <x:c r="B50" s="34"/>
      <x:c r="C50" s="78"/>
      <x:c r="D50" s="34"/>
      <x:c r="E50" s="204" t="str">
        <x:f>IF(A50="","",SUMIF('02_PET_APORTES'!$H$5:$H$204,A50,'02_PET_APORTES'!$F$5:$F$204))</x:f>
      </x:c>
      <x:c r="F50" s="200" t="str">
        <x:f>IF(A50="","",SUMIF('02_PET_APORTES'!$H$5:$H$204,A50,'02_PET_APORTES'!$K$5:$K$204))</x:f>
      </x:c>
      <x:c r="G50" s="34"/>
      <x:c r="H50" s="78"/>
      <x:c r="I50" s="81"/>
      <x:c r="J50" s="34"/>
      <x:c r="K50" s="34"/>
      <x:c r="L50" s="34"/>
      <x:c r="M50" s="34"/>
      <x:c r="N50" s="35"/>
    </x:row>
    <x:row r="51">
      <x:c r="A51" s="34"/>
      <x:c r="B51" s="34"/>
      <x:c r="C51" s="78"/>
      <x:c r="D51" s="34"/>
      <x:c r="E51" s="204" t="str">
        <x:f>IF(A51="","",SUMIF('02_PET_APORTES'!$H$5:$H$204,A51,'02_PET_APORTES'!$F$5:$F$204))</x:f>
      </x:c>
      <x:c r="F51" s="200" t="str">
        <x:f>IF(A51="","",SUMIF('02_PET_APORTES'!$H$5:$H$204,A51,'02_PET_APORTES'!$K$5:$K$204))</x:f>
      </x:c>
      <x:c r="G51" s="34"/>
      <x:c r="H51" s="78"/>
      <x:c r="I51" s="81"/>
      <x:c r="J51" s="34"/>
      <x:c r="K51" s="34"/>
      <x:c r="L51" s="34"/>
      <x:c r="M51" s="34"/>
      <x:c r="N51" s="35"/>
    </x:row>
    <x:row r="52">
      <x:c r="A52" s="34"/>
      <x:c r="B52" s="34"/>
      <x:c r="C52" s="78"/>
      <x:c r="D52" s="34"/>
      <x:c r="E52" s="204" t="str">
        <x:f>IF(A52="","",SUMIF('02_PET_APORTES'!$H$5:$H$204,A52,'02_PET_APORTES'!$F$5:$F$204))</x:f>
      </x:c>
      <x:c r="F52" s="200" t="str">
        <x:f>IF(A52="","",SUMIF('02_PET_APORTES'!$H$5:$H$204,A52,'02_PET_APORTES'!$K$5:$K$204))</x:f>
      </x:c>
      <x:c r="G52" s="34"/>
      <x:c r="H52" s="78"/>
      <x:c r="I52" s="81"/>
      <x:c r="J52" s="34"/>
      <x:c r="K52" s="34"/>
      <x:c r="L52" s="34"/>
      <x:c r="M52" s="34"/>
      <x:c r="N52" s="35"/>
    </x:row>
    <x:row r="53">
      <x:c r="A53" s="34"/>
      <x:c r="B53" s="34"/>
      <x:c r="C53" s="78"/>
      <x:c r="D53" s="34"/>
      <x:c r="E53" s="204" t="str">
        <x:f>IF(A53="","",SUMIF('02_PET_APORTES'!$H$5:$H$204,A53,'02_PET_APORTES'!$F$5:$F$204))</x:f>
      </x:c>
      <x:c r="F53" s="200" t="str">
        <x:f>IF(A53="","",SUMIF('02_PET_APORTES'!$H$5:$H$204,A53,'02_PET_APORTES'!$K$5:$K$204))</x:f>
      </x:c>
      <x:c r="G53" s="34"/>
      <x:c r="H53" s="78"/>
      <x:c r="I53" s="81"/>
      <x:c r="J53" s="34"/>
      <x:c r="K53" s="34"/>
      <x:c r="L53" s="34"/>
      <x:c r="M53" s="34"/>
      <x:c r="N53" s="35"/>
    </x:row>
    <x:row r="54">
      <x:c r="A54" s="34"/>
      <x:c r="B54" s="34"/>
      <x:c r="C54" s="78"/>
      <x:c r="D54" s="34"/>
      <x:c r="E54" s="204" t="str">
        <x:f>IF(A54="","",SUMIF('02_PET_APORTES'!$H$5:$H$204,A54,'02_PET_APORTES'!$F$5:$F$204))</x:f>
      </x:c>
      <x:c r="F54" s="200" t="str">
        <x:f>IF(A54="","",SUMIF('02_PET_APORTES'!$H$5:$H$204,A54,'02_PET_APORTES'!$K$5:$K$204))</x:f>
      </x:c>
      <x:c r="G54" s="34"/>
      <x:c r="H54" s="78"/>
      <x:c r="I54" s="81"/>
      <x:c r="J54" s="34"/>
      <x:c r="K54" s="34"/>
      <x:c r="L54" s="34"/>
      <x:c r="M54" s="34"/>
      <x:c r="N54" s="35"/>
    </x:row>
    <x:row r="55">
      <x:c r="A55" s="34"/>
      <x:c r="B55" s="34"/>
      <x:c r="C55" s="78"/>
      <x:c r="D55" s="34"/>
      <x:c r="E55" s="204" t="str">
        <x:f>IF(A55="","",SUMIF('02_PET_APORTES'!$H$5:$H$204,A55,'02_PET_APORTES'!$F$5:$F$204))</x:f>
      </x:c>
      <x:c r="F55" s="200" t="str">
        <x:f>IF(A55="","",SUMIF('02_PET_APORTES'!$H$5:$H$204,A55,'02_PET_APORTES'!$K$5:$K$204))</x:f>
      </x:c>
      <x:c r="G55" s="34"/>
      <x:c r="H55" s="78"/>
      <x:c r="I55" s="81"/>
      <x:c r="J55" s="34"/>
      <x:c r="K55" s="34"/>
      <x:c r="L55" s="34"/>
      <x:c r="M55" s="34"/>
      <x:c r="N55" s="35"/>
    </x:row>
    <x:row r="56">
      <x:c r="A56" s="34"/>
      <x:c r="B56" s="34"/>
      <x:c r="C56" s="78"/>
      <x:c r="D56" s="34"/>
      <x:c r="E56" s="204" t="str">
        <x:f>IF(A56="","",SUMIF('02_PET_APORTES'!$H$5:$H$204,A56,'02_PET_APORTES'!$F$5:$F$204))</x:f>
      </x:c>
      <x:c r="F56" s="200" t="str">
        <x:f>IF(A56="","",SUMIF('02_PET_APORTES'!$H$5:$H$204,A56,'02_PET_APORTES'!$K$5:$K$204))</x:f>
      </x:c>
      <x:c r="G56" s="34"/>
      <x:c r="H56" s="78"/>
      <x:c r="I56" s="81"/>
      <x:c r="J56" s="34"/>
      <x:c r="K56" s="34"/>
      <x:c r="L56" s="34"/>
      <x:c r="M56" s="34"/>
      <x:c r="N56" s="35"/>
    </x:row>
    <x:row r="57">
      <x:c r="A57" s="34"/>
      <x:c r="B57" s="34"/>
      <x:c r="C57" s="78"/>
      <x:c r="D57" s="34"/>
      <x:c r="E57" s="204" t="str">
        <x:f>IF(A57="","",SUMIF('02_PET_APORTES'!$H$5:$H$204,A57,'02_PET_APORTES'!$F$5:$F$204))</x:f>
      </x:c>
      <x:c r="F57" s="200" t="str">
        <x:f>IF(A57="","",SUMIF('02_PET_APORTES'!$H$5:$H$204,A57,'02_PET_APORTES'!$K$5:$K$204))</x:f>
      </x:c>
      <x:c r="G57" s="34"/>
      <x:c r="H57" s="78"/>
      <x:c r="I57" s="81"/>
      <x:c r="J57" s="34"/>
      <x:c r="K57" s="34"/>
      <x:c r="L57" s="34"/>
      <x:c r="M57" s="34"/>
      <x:c r="N57" s="35"/>
    </x:row>
    <x:row r="58">
      <x:c r="A58" s="34"/>
      <x:c r="B58" s="34"/>
      <x:c r="C58" s="78"/>
      <x:c r="D58" s="34"/>
      <x:c r="E58" s="204" t="str">
        <x:f>IF(A58="","",SUMIF('02_PET_APORTES'!$H$5:$H$204,A58,'02_PET_APORTES'!$F$5:$F$204))</x:f>
      </x:c>
      <x:c r="F58" s="200" t="str">
        <x:f>IF(A58="","",SUMIF('02_PET_APORTES'!$H$5:$H$204,A58,'02_PET_APORTES'!$K$5:$K$204))</x:f>
      </x:c>
      <x:c r="G58" s="34"/>
      <x:c r="H58" s="78"/>
      <x:c r="I58" s="81"/>
      <x:c r="J58" s="34"/>
      <x:c r="K58" s="34"/>
      <x:c r="L58" s="34"/>
      <x:c r="M58" s="34"/>
      <x:c r="N58" s="35"/>
    </x:row>
    <x:row r="59">
      <x:c r="A59" s="34"/>
      <x:c r="B59" s="34"/>
      <x:c r="C59" s="78"/>
      <x:c r="D59" s="34"/>
      <x:c r="E59" s="204" t="str">
        <x:f>IF(A59="","",SUMIF('02_PET_APORTES'!$H$5:$H$204,A59,'02_PET_APORTES'!$F$5:$F$204))</x:f>
      </x:c>
      <x:c r="F59" s="200" t="str">
        <x:f>IF(A59="","",SUMIF('02_PET_APORTES'!$H$5:$H$204,A59,'02_PET_APORTES'!$K$5:$K$204))</x:f>
      </x:c>
      <x:c r="G59" s="34"/>
      <x:c r="H59" s="78"/>
      <x:c r="I59" s="81"/>
      <x:c r="J59" s="34"/>
      <x:c r="K59" s="34"/>
      <x:c r="L59" s="34"/>
      <x:c r="M59" s="34"/>
      <x:c r="N59" s="35"/>
    </x:row>
    <x:row r="60">
      <x:c r="A60" s="34"/>
      <x:c r="B60" s="34"/>
      <x:c r="C60" s="78"/>
      <x:c r="D60" s="34"/>
      <x:c r="E60" s="204" t="str">
        <x:f>IF(A60="","",SUMIF('02_PET_APORTES'!$H$5:$H$204,A60,'02_PET_APORTES'!$F$5:$F$204))</x:f>
      </x:c>
      <x:c r="F60" s="200" t="str">
        <x:f>IF(A60="","",SUMIF('02_PET_APORTES'!$H$5:$H$204,A60,'02_PET_APORTES'!$K$5:$K$204))</x:f>
      </x:c>
      <x:c r="G60" s="34"/>
      <x:c r="H60" s="78"/>
      <x:c r="I60" s="81"/>
      <x:c r="J60" s="34"/>
      <x:c r="K60" s="34"/>
      <x:c r="L60" s="34"/>
      <x:c r="M60" s="34"/>
      <x:c r="N60" s="35"/>
    </x:row>
    <x:row r="61">
      <x:c r="A61" s="34"/>
      <x:c r="B61" s="34"/>
      <x:c r="C61" s="78"/>
      <x:c r="D61" s="34"/>
      <x:c r="E61" s="204" t="str">
        <x:f>IF(A61="","",SUMIF('02_PET_APORTES'!$H$5:$H$204,A61,'02_PET_APORTES'!$F$5:$F$204))</x:f>
      </x:c>
      <x:c r="F61" s="200" t="str">
        <x:f>IF(A61="","",SUMIF('02_PET_APORTES'!$H$5:$H$204,A61,'02_PET_APORTES'!$K$5:$K$204))</x:f>
      </x:c>
      <x:c r="G61" s="34"/>
      <x:c r="H61" s="78"/>
      <x:c r="I61" s="81"/>
      <x:c r="J61" s="34"/>
      <x:c r="K61" s="34"/>
      <x:c r="L61" s="34"/>
      <x:c r="M61" s="34"/>
      <x:c r="N61" s="35"/>
    </x:row>
    <x:row r="62">
      <x:c r="A62" s="34"/>
      <x:c r="B62" s="34"/>
      <x:c r="C62" s="78"/>
      <x:c r="D62" s="34"/>
      <x:c r="E62" s="204" t="str">
        <x:f>IF(A62="","",SUMIF('02_PET_APORTES'!$H$5:$H$204,A62,'02_PET_APORTES'!$F$5:$F$204))</x:f>
      </x:c>
      <x:c r="F62" s="200" t="str">
        <x:f>IF(A62="","",SUMIF('02_PET_APORTES'!$H$5:$H$204,A62,'02_PET_APORTES'!$K$5:$K$204))</x:f>
      </x:c>
      <x:c r="G62" s="34"/>
      <x:c r="H62" s="78"/>
      <x:c r="I62" s="81"/>
      <x:c r="J62" s="34"/>
      <x:c r="K62" s="34"/>
      <x:c r="L62" s="34"/>
      <x:c r="M62" s="34"/>
      <x:c r="N62" s="35"/>
    </x:row>
    <x:row r="63">
      <x:c r="A63" s="34"/>
      <x:c r="B63" s="34"/>
      <x:c r="C63" s="78"/>
      <x:c r="D63" s="34"/>
      <x:c r="E63" s="204" t="str">
        <x:f>IF(A63="","",SUMIF('02_PET_APORTES'!$H$5:$H$204,A63,'02_PET_APORTES'!$F$5:$F$204))</x:f>
      </x:c>
      <x:c r="F63" s="200" t="str">
        <x:f>IF(A63="","",SUMIF('02_PET_APORTES'!$H$5:$H$204,A63,'02_PET_APORTES'!$K$5:$K$204))</x:f>
      </x:c>
      <x:c r="G63" s="34"/>
      <x:c r="H63" s="78"/>
      <x:c r="I63" s="81"/>
      <x:c r="J63" s="34"/>
      <x:c r="K63" s="34"/>
      <x:c r="L63" s="34"/>
      <x:c r="M63" s="34"/>
      <x:c r="N63" s="35"/>
    </x:row>
    <x:row r="64">
      <x:c r="A64" s="34"/>
      <x:c r="B64" s="34"/>
      <x:c r="C64" s="78"/>
      <x:c r="D64" s="34"/>
      <x:c r="E64" s="204" t="str">
        <x:f>IF(A64="","",SUMIF('02_PET_APORTES'!$H$5:$H$204,A64,'02_PET_APORTES'!$F$5:$F$204))</x:f>
      </x:c>
      <x:c r="F64" s="200" t="str">
        <x:f>IF(A64="","",SUMIF('02_PET_APORTES'!$H$5:$H$204,A64,'02_PET_APORTES'!$K$5:$K$204))</x:f>
      </x:c>
      <x:c r="G64" s="34"/>
      <x:c r="H64" s="78"/>
      <x:c r="I64" s="81"/>
      <x:c r="J64" s="34"/>
      <x:c r="K64" s="34"/>
      <x:c r="L64" s="34"/>
      <x:c r="M64" s="34"/>
      <x:c r="N64" s="35"/>
    </x:row>
    <x:row r="65">
      <x:c r="A65" s="34"/>
      <x:c r="B65" s="34"/>
      <x:c r="C65" s="78"/>
      <x:c r="D65" s="34"/>
      <x:c r="E65" s="204" t="str">
        <x:f>IF(A65="","",SUMIF('02_PET_APORTES'!$H$5:$H$204,A65,'02_PET_APORTES'!$F$5:$F$204))</x:f>
      </x:c>
      <x:c r="F65" s="200" t="str">
        <x:f>IF(A65="","",SUMIF('02_PET_APORTES'!$H$5:$H$204,A65,'02_PET_APORTES'!$K$5:$K$204))</x:f>
      </x:c>
      <x:c r="G65" s="34"/>
      <x:c r="H65" s="78"/>
      <x:c r="I65" s="81"/>
      <x:c r="J65" s="34"/>
      <x:c r="K65" s="34"/>
      <x:c r="L65" s="34"/>
      <x:c r="M65" s="34"/>
      <x:c r="N65" s="35"/>
    </x:row>
    <x:row r="66">
      <x:c r="A66" s="34"/>
      <x:c r="B66" s="34"/>
      <x:c r="C66" s="78"/>
      <x:c r="D66" s="34"/>
      <x:c r="E66" s="204" t="str">
        <x:f>IF(A66="","",SUMIF('02_PET_APORTES'!$H$5:$H$204,A66,'02_PET_APORTES'!$F$5:$F$204))</x:f>
      </x:c>
      <x:c r="F66" s="200" t="str">
        <x:f>IF(A66="","",SUMIF('02_PET_APORTES'!$H$5:$H$204,A66,'02_PET_APORTES'!$K$5:$K$204))</x:f>
      </x:c>
      <x:c r="G66" s="34"/>
      <x:c r="H66" s="78"/>
      <x:c r="I66" s="81"/>
      <x:c r="J66" s="34"/>
      <x:c r="K66" s="34"/>
      <x:c r="L66" s="34"/>
      <x:c r="M66" s="34"/>
      <x:c r="N66" s="35"/>
    </x:row>
    <x:row r="67">
      <x:c r="A67" s="34"/>
      <x:c r="B67" s="34"/>
      <x:c r="C67" s="78"/>
      <x:c r="D67" s="34"/>
      <x:c r="E67" s="204" t="str">
        <x:f>IF(A67="","",SUMIF('02_PET_APORTES'!$H$5:$H$204,A67,'02_PET_APORTES'!$F$5:$F$204))</x:f>
      </x:c>
      <x:c r="F67" s="200" t="str">
        <x:f>IF(A67="","",SUMIF('02_PET_APORTES'!$H$5:$H$204,A67,'02_PET_APORTES'!$K$5:$K$204))</x:f>
      </x:c>
      <x:c r="G67" s="34"/>
      <x:c r="H67" s="78"/>
      <x:c r="I67" s="81"/>
      <x:c r="J67" s="34"/>
      <x:c r="K67" s="34"/>
      <x:c r="L67" s="34"/>
      <x:c r="M67" s="34"/>
      <x:c r="N67" s="35"/>
    </x:row>
    <x:row r="68">
      <x:c r="A68" s="34"/>
      <x:c r="B68" s="34"/>
      <x:c r="C68" s="78"/>
      <x:c r="D68" s="34"/>
      <x:c r="E68" s="204" t="str">
        <x:f>IF(A68="","",SUMIF('02_PET_APORTES'!$H$5:$H$204,A68,'02_PET_APORTES'!$F$5:$F$204))</x:f>
      </x:c>
      <x:c r="F68" s="200" t="str">
        <x:f>IF(A68="","",SUMIF('02_PET_APORTES'!$H$5:$H$204,A68,'02_PET_APORTES'!$K$5:$K$204))</x:f>
      </x:c>
      <x:c r="G68" s="34"/>
      <x:c r="H68" s="78"/>
      <x:c r="I68" s="81"/>
      <x:c r="J68" s="34"/>
      <x:c r="K68" s="34"/>
      <x:c r="L68" s="34"/>
      <x:c r="M68" s="34"/>
      <x:c r="N68" s="35"/>
    </x:row>
    <x:row r="69">
      <x:c r="A69" s="34"/>
      <x:c r="B69" s="34"/>
      <x:c r="C69" s="78"/>
      <x:c r="D69" s="34"/>
      <x:c r="E69" s="204" t="str">
        <x:f>IF(A69="","",SUMIF('02_PET_APORTES'!$H$5:$H$204,A69,'02_PET_APORTES'!$F$5:$F$204))</x:f>
      </x:c>
      <x:c r="F69" s="200" t="str">
        <x:f>IF(A69="","",SUMIF('02_PET_APORTES'!$H$5:$H$204,A69,'02_PET_APORTES'!$K$5:$K$204))</x:f>
      </x:c>
      <x:c r="G69" s="34"/>
      <x:c r="H69" s="78"/>
      <x:c r="I69" s="81"/>
      <x:c r="J69" s="34"/>
      <x:c r="K69" s="34"/>
      <x:c r="L69" s="34"/>
      <x:c r="M69" s="34"/>
      <x:c r="N69" s="35"/>
    </x:row>
    <x:row r="70">
      <x:c r="A70" s="34"/>
      <x:c r="B70" s="34"/>
      <x:c r="C70" s="78"/>
      <x:c r="D70" s="34"/>
      <x:c r="E70" s="204" t="str">
        <x:f>IF(A70="","",SUMIF('02_PET_APORTES'!$H$5:$H$204,A70,'02_PET_APORTES'!$F$5:$F$204))</x:f>
      </x:c>
      <x:c r="F70" s="200" t="str">
        <x:f>IF(A70="","",SUMIF('02_PET_APORTES'!$H$5:$H$204,A70,'02_PET_APORTES'!$K$5:$K$204))</x:f>
      </x:c>
      <x:c r="G70" s="34"/>
      <x:c r="H70" s="78"/>
      <x:c r="I70" s="81"/>
      <x:c r="J70" s="34"/>
      <x:c r="K70" s="34"/>
      <x:c r="L70" s="34"/>
      <x:c r="M70" s="34"/>
      <x:c r="N70" s="35"/>
    </x:row>
    <x:row r="71">
      <x:c r="A71" s="34"/>
      <x:c r="B71" s="34"/>
      <x:c r="C71" s="78"/>
      <x:c r="D71" s="34"/>
      <x:c r="E71" s="204" t="str">
        <x:f>IF(A71="","",SUMIF('02_PET_APORTES'!$H$5:$H$204,A71,'02_PET_APORTES'!$F$5:$F$204))</x:f>
      </x:c>
      <x:c r="F71" s="200" t="str">
        <x:f>IF(A71="","",SUMIF('02_PET_APORTES'!$H$5:$H$204,A71,'02_PET_APORTES'!$K$5:$K$204))</x:f>
      </x:c>
      <x:c r="G71" s="34"/>
      <x:c r="H71" s="78"/>
      <x:c r="I71" s="81"/>
      <x:c r="J71" s="34"/>
      <x:c r="K71" s="34"/>
      <x:c r="L71" s="34"/>
      <x:c r="M71" s="34"/>
      <x:c r="N71" s="35"/>
    </x:row>
    <x:row r="72">
      <x:c r="A72" s="34"/>
      <x:c r="B72" s="34"/>
      <x:c r="C72" s="78"/>
      <x:c r="D72" s="34"/>
      <x:c r="E72" s="204" t="str">
        <x:f>IF(A72="","",SUMIF('02_PET_APORTES'!$H$5:$H$204,A72,'02_PET_APORTES'!$F$5:$F$204))</x:f>
      </x:c>
      <x:c r="F72" s="200" t="str">
        <x:f>IF(A72="","",SUMIF('02_PET_APORTES'!$H$5:$H$204,A72,'02_PET_APORTES'!$K$5:$K$204))</x:f>
      </x:c>
      <x:c r="G72" s="34"/>
      <x:c r="H72" s="78"/>
      <x:c r="I72" s="81"/>
      <x:c r="J72" s="34"/>
      <x:c r="K72" s="34"/>
      <x:c r="L72" s="34"/>
      <x:c r="M72" s="34"/>
      <x:c r="N72" s="35"/>
    </x:row>
    <x:row r="73">
      <x:c r="A73" s="34"/>
      <x:c r="B73" s="34"/>
      <x:c r="C73" s="78"/>
      <x:c r="D73" s="34"/>
      <x:c r="E73" s="204" t="str">
        <x:f>IF(A73="","",SUMIF('02_PET_APORTES'!$H$5:$H$204,A73,'02_PET_APORTES'!$F$5:$F$204))</x:f>
      </x:c>
      <x:c r="F73" s="200" t="str">
        <x:f>IF(A73="","",SUMIF('02_PET_APORTES'!$H$5:$H$204,A73,'02_PET_APORTES'!$K$5:$K$204))</x:f>
      </x:c>
      <x:c r="G73" s="34"/>
      <x:c r="H73" s="78"/>
      <x:c r="I73" s="81"/>
      <x:c r="J73" s="34"/>
      <x:c r="K73" s="34"/>
      <x:c r="L73" s="34"/>
      <x:c r="M73" s="34"/>
      <x:c r="N73" s="35"/>
    </x:row>
    <x:row r="74">
      <x:c r="A74" s="34"/>
      <x:c r="B74" s="34"/>
      <x:c r="C74" s="78"/>
      <x:c r="D74" s="34"/>
      <x:c r="E74" s="204" t="str">
        <x:f>IF(A74="","",SUMIF('02_PET_APORTES'!$H$5:$H$204,A74,'02_PET_APORTES'!$F$5:$F$204))</x:f>
      </x:c>
      <x:c r="F74" s="200" t="str">
        <x:f>IF(A74="","",SUMIF('02_PET_APORTES'!$H$5:$H$204,A74,'02_PET_APORTES'!$K$5:$K$204))</x:f>
      </x:c>
      <x:c r="G74" s="34"/>
      <x:c r="H74" s="78"/>
      <x:c r="I74" s="81"/>
      <x:c r="J74" s="34"/>
      <x:c r="K74" s="34"/>
      <x:c r="L74" s="34"/>
      <x:c r="M74" s="34"/>
      <x:c r="N74" s="35"/>
    </x:row>
    <x:row r="75">
      <x:c r="A75" s="34"/>
      <x:c r="B75" s="34"/>
      <x:c r="C75" s="78"/>
      <x:c r="D75" s="34"/>
      <x:c r="E75" s="204" t="str">
        <x:f>IF(A75="","",SUMIF('02_PET_APORTES'!$H$5:$H$204,A75,'02_PET_APORTES'!$F$5:$F$204))</x:f>
      </x:c>
      <x:c r="F75" s="200" t="str">
        <x:f>IF(A75="","",SUMIF('02_PET_APORTES'!$H$5:$H$204,A75,'02_PET_APORTES'!$K$5:$K$204))</x:f>
      </x:c>
      <x:c r="G75" s="34"/>
      <x:c r="H75" s="78"/>
      <x:c r="I75" s="81"/>
      <x:c r="J75" s="34"/>
      <x:c r="K75" s="34"/>
      <x:c r="L75" s="34"/>
      <x:c r="M75" s="34"/>
      <x:c r="N75" s="35"/>
    </x:row>
    <x:row r="76">
      <x:c r="A76" s="34"/>
      <x:c r="B76" s="34"/>
      <x:c r="C76" s="78"/>
      <x:c r="D76" s="34"/>
      <x:c r="E76" s="204" t="str">
        <x:f>IF(A76="","",SUMIF('02_PET_APORTES'!$H$5:$H$204,A76,'02_PET_APORTES'!$F$5:$F$204))</x:f>
      </x:c>
      <x:c r="F76" s="200" t="str">
        <x:f>IF(A76="","",SUMIF('02_PET_APORTES'!$H$5:$H$204,A76,'02_PET_APORTES'!$K$5:$K$204))</x:f>
      </x:c>
      <x:c r="G76" s="34"/>
      <x:c r="H76" s="78"/>
      <x:c r="I76" s="81"/>
      <x:c r="J76" s="34"/>
      <x:c r="K76" s="34"/>
      <x:c r="L76" s="34"/>
      <x:c r="M76" s="34"/>
      <x:c r="N76" s="35"/>
    </x:row>
    <x:row r="77">
      <x:c r="A77" s="34"/>
      <x:c r="B77" s="34"/>
      <x:c r="C77" s="78"/>
      <x:c r="D77" s="34"/>
      <x:c r="E77" s="204" t="str">
        <x:f>IF(A77="","",SUMIF('02_PET_APORTES'!$H$5:$H$204,A77,'02_PET_APORTES'!$F$5:$F$204))</x:f>
      </x:c>
      <x:c r="F77" s="200" t="str">
        <x:f>IF(A77="","",SUMIF('02_PET_APORTES'!$H$5:$H$204,A77,'02_PET_APORTES'!$K$5:$K$204))</x:f>
      </x:c>
      <x:c r="G77" s="34"/>
      <x:c r="H77" s="78"/>
      <x:c r="I77" s="81"/>
      <x:c r="J77" s="34"/>
      <x:c r="K77" s="34"/>
      <x:c r="L77" s="34"/>
      <x:c r="M77" s="34"/>
      <x:c r="N77" s="35"/>
    </x:row>
    <x:row r="78">
      <x:c r="A78" s="34"/>
      <x:c r="B78" s="34"/>
      <x:c r="C78" s="78"/>
      <x:c r="D78" s="34"/>
      <x:c r="E78" s="204" t="str">
        <x:f>IF(A78="","",SUMIF('02_PET_APORTES'!$H$5:$H$204,A78,'02_PET_APORTES'!$F$5:$F$204))</x:f>
      </x:c>
      <x:c r="F78" s="200" t="str">
        <x:f>IF(A78="","",SUMIF('02_PET_APORTES'!$H$5:$H$204,A78,'02_PET_APORTES'!$K$5:$K$204))</x:f>
      </x:c>
      <x:c r="G78" s="34"/>
      <x:c r="H78" s="78"/>
      <x:c r="I78" s="81"/>
      <x:c r="J78" s="34"/>
      <x:c r="K78" s="34"/>
      <x:c r="L78" s="34"/>
      <x:c r="M78" s="34"/>
      <x:c r="N78" s="35"/>
    </x:row>
    <x:row r="79">
      <x:c r="A79" s="34"/>
      <x:c r="B79" s="34"/>
      <x:c r="C79" s="78"/>
      <x:c r="D79" s="34"/>
      <x:c r="E79" s="204" t="str">
        <x:f>IF(A79="","",SUMIF('02_PET_APORTES'!$H$5:$H$204,A79,'02_PET_APORTES'!$F$5:$F$204))</x:f>
      </x:c>
      <x:c r="F79" s="200" t="str">
        <x:f>IF(A79="","",SUMIF('02_PET_APORTES'!$H$5:$H$204,A79,'02_PET_APORTES'!$K$5:$K$204))</x:f>
      </x:c>
      <x:c r="G79" s="34"/>
      <x:c r="H79" s="78"/>
      <x:c r="I79" s="81"/>
      <x:c r="J79" s="34"/>
      <x:c r="K79" s="34"/>
      <x:c r="L79" s="34"/>
      <x:c r="M79" s="34"/>
      <x:c r="N79" s="35"/>
    </x:row>
    <x:row r="80">
      <x:c r="A80" s="34"/>
      <x:c r="B80" s="34"/>
      <x:c r="C80" s="78"/>
      <x:c r="D80" s="34"/>
      <x:c r="E80" s="204" t="str">
        <x:f>IF(A80="","",SUMIF('02_PET_APORTES'!$H$5:$H$204,A80,'02_PET_APORTES'!$F$5:$F$204))</x:f>
      </x:c>
      <x:c r="F80" s="200" t="str">
        <x:f>IF(A80="","",SUMIF('02_PET_APORTES'!$H$5:$H$204,A80,'02_PET_APORTES'!$K$5:$K$204))</x:f>
      </x:c>
      <x:c r="G80" s="34"/>
      <x:c r="H80" s="78"/>
      <x:c r="I80" s="81"/>
      <x:c r="J80" s="34"/>
      <x:c r="K80" s="34"/>
      <x:c r="L80" s="34"/>
      <x:c r="M80" s="34"/>
      <x:c r="N80" s="35"/>
    </x:row>
    <x:row r="81">
      <x:c r="A81" s="34"/>
      <x:c r="B81" s="34"/>
      <x:c r="C81" s="78"/>
      <x:c r="D81" s="34"/>
      <x:c r="E81" s="204" t="str">
        <x:f>IF(A81="","",SUMIF('02_PET_APORTES'!$H$5:$H$204,A81,'02_PET_APORTES'!$F$5:$F$204))</x:f>
      </x:c>
      <x:c r="F81" s="200" t="str">
        <x:f>IF(A81="","",SUMIF('02_PET_APORTES'!$H$5:$H$204,A81,'02_PET_APORTES'!$K$5:$K$204))</x:f>
      </x:c>
      <x:c r="G81" s="34"/>
      <x:c r="H81" s="78"/>
      <x:c r="I81" s="81"/>
      <x:c r="J81" s="34"/>
      <x:c r="K81" s="34"/>
      <x:c r="L81" s="34"/>
      <x:c r="M81" s="34"/>
      <x:c r="N81" s="35"/>
    </x:row>
    <x:row r="82">
      <x:c r="A82" s="34"/>
      <x:c r="B82" s="34"/>
      <x:c r="C82" s="78"/>
      <x:c r="D82" s="34"/>
      <x:c r="E82" s="204" t="str">
        <x:f>IF(A82="","",SUMIF('02_PET_APORTES'!$H$5:$H$204,A82,'02_PET_APORTES'!$F$5:$F$204))</x:f>
      </x:c>
      <x:c r="F82" s="200" t="str">
        <x:f>IF(A82="","",SUMIF('02_PET_APORTES'!$H$5:$H$204,A82,'02_PET_APORTES'!$K$5:$K$204))</x:f>
      </x:c>
      <x:c r="G82" s="34"/>
      <x:c r="H82" s="78"/>
      <x:c r="I82" s="81"/>
      <x:c r="J82" s="34"/>
      <x:c r="K82" s="34"/>
      <x:c r="L82" s="34"/>
      <x:c r="M82" s="34"/>
      <x:c r="N82" s="35"/>
    </x:row>
    <x:row r="83">
      <x:c r="A83" s="34"/>
      <x:c r="B83" s="34"/>
      <x:c r="C83" s="78"/>
      <x:c r="D83" s="34"/>
      <x:c r="E83" s="204" t="str">
        <x:f>IF(A83="","",SUMIF('02_PET_APORTES'!$H$5:$H$204,A83,'02_PET_APORTES'!$F$5:$F$204))</x:f>
      </x:c>
      <x:c r="F83" s="200" t="str">
        <x:f>IF(A83="","",SUMIF('02_PET_APORTES'!$H$5:$H$204,A83,'02_PET_APORTES'!$K$5:$K$204))</x:f>
      </x:c>
      <x:c r="G83" s="34"/>
      <x:c r="H83" s="78"/>
      <x:c r="I83" s="81"/>
      <x:c r="J83" s="34"/>
      <x:c r="K83" s="34"/>
      <x:c r="L83" s="34"/>
      <x:c r="M83" s="34"/>
      <x:c r="N83" s="35"/>
    </x:row>
    <x:row r="84">
      <x:c r="A84" s="34"/>
      <x:c r="B84" s="34"/>
      <x:c r="C84" s="78"/>
      <x:c r="D84" s="34"/>
      <x:c r="E84" s="204" t="str">
        <x:f>IF(A84="","",SUMIF('02_PET_APORTES'!$H$5:$H$204,A84,'02_PET_APORTES'!$F$5:$F$204))</x:f>
      </x:c>
      <x:c r="F84" s="200" t="str">
        <x:f>IF(A84="","",SUMIF('02_PET_APORTES'!$H$5:$H$204,A84,'02_PET_APORTES'!$K$5:$K$204))</x:f>
      </x:c>
      <x:c r="G84" s="34"/>
      <x:c r="H84" s="78"/>
      <x:c r="I84" s="81"/>
      <x:c r="J84" s="34"/>
      <x:c r="K84" s="34"/>
      <x:c r="L84" s="34"/>
      <x:c r="M84" s="34"/>
      <x:c r="N84" s="35"/>
    </x:row>
    <x:row r="85">
      <x:c r="A85" s="34"/>
      <x:c r="B85" s="34"/>
      <x:c r="C85" s="78"/>
      <x:c r="D85" s="34"/>
      <x:c r="E85" s="204" t="str">
        <x:f>IF(A85="","",SUMIF('02_PET_APORTES'!$H$5:$H$204,A85,'02_PET_APORTES'!$F$5:$F$204))</x:f>
      </x:c>
      <x:c r="F85" s="200" t="str">
        <x:f>IF(A85="","",SUMIF('02_PET_APORTES'!$H$5:$H$204,A85,'02_PET_APORTES'!$K$5:$K$204))</x:f>
      </x:c>
      <x:c r="G85" s="34"/>
      <x:c r="H85" s="78"/>
      <x:c r="I85" s="81"/>
      <x:c r="J85" s="34"/>
      <x:c r="K85" s="34"/>
      <x:c r="L85" s="34"/>
      <x:c r="M85" s="34"/>
      <x:c r="N85" s="35"/>
    </x:row>
    <x:row r="86">
      <x:c r="A86" s="34"/>
      <x:c r="B86" s="34"/>
      <x:c r="C86" s="78"/>
      <x:c r="D86" s="34"/>
      <x:c r="E86" s="204" t="str">
        <x:f>IF(A86="","",SUMIF('02_PET_APORTES'!$H$5:$H$204,A86,'02_PET_APORTES'!$F$5:$F$204))</x:f>
      </x:c>
      <x:c r="F86" s="200" t="str">
        <x:f>IF(A86="","",SUMIF('02_PET_APORTES'!$H$5:$H$204,A86,'02_PET_APORTES'!$K$5:$K$204))</x:f>
      </x:c>
      <x:c r="G86" s="34"/>
      <x:c r="H86" s="78"/>
      <x:c r="I86" s="81"/>
      <x:c r="J86" s="34"/>
      <x:c r="K86" s="34"/>
      <x:c r="L86" s="34"/>
      <x:c r="M86" s="34"/>
      <x:c r="N86" s="35"/>
    </x:row>
    <x:row r="87">
      <x:c r="A87" s="34"/>
      <x:c r="B87" s="34"/>
      <x:c r="C87" s="78"/>
      <x:c r="D87" s="34"/>
      <x:c r="E87" s="204" t="str">
        <x:f>IF(A87="","",SUMIF('02_PET_APORTES'!$H$5:$H$204,A87,'02_PET_APORTES'!$F$5:$F$204))</x:f>
      </x:c>
      <x:c r="F87" s="200" t="str">
        <x:f>IF(A87="","",SUMIF('02_PET_APORTES'!$H$5:$H$204,A87,'02_PET_APORTES'!$K$5:$K$204))</x:f>
      </x:c>
      <x:c r="G87" s="34"/>
      <x:c r="H87" s="78"/>
      <x:c r="I87" s="81"/>
      <x:c r="J87" s="34"/>
      <x:c r="K87" s="34"/>
      <x:c r="L87" s="34"/>
      <x:c r="M87" s="34"/>
      <x:c r="N87" s="35"/>
    </x:row>
    <x:row r="88">
      <x:c r="A88" s="34"/>
      <x:c r="B88" s="34"/>
      <x:c r="C88" s="78"/>
      <x:c r="D88" s="34"/>
      <x:c r="E88" s="204" t="str">
        <x:f>IF(A88="","",SUMIF('02_PET_APORTES'!$H$5:$H$204,A88,'02_PET_APORTES'!$F$5:$F$204))</x:f>
      </x:c>
      <x:c r="F88" s="200" t="str">
        <x:f>IF(A88="","",SUMIF('02_PET_APORTES'!$H$5:$H$204,A88,'02_PET_APORTES'!$K$5:$K$204))</x:f>
      </x:c>
      <x:c r="G88" s="34"/>
      <x:c r="H88" s="78"/>
      <x:c r="I88" s="81"/>
      <x:c r="J88" s="34"/>
      <x:c r="K88" s="34"/>
      <x:c r="L88" s="34"/>
      <x:c r="M88" s="34"/>
      <x:c r="N88" s="35"/>
    </x:row>
    <x:row r="89">
      <x:c r="A89" s="34"/>
      <x:c r="B89" s="34"/>
      <x:c r="C89" s="78"/>
      <x:c r="D89" s="34"/>
      <x:c r="E89" s="204" t="str">
        <x:f>IF(A89="","",SUMIF('02_PET_APORTES'!$H$5:$H$204,A89,'02_PET_APORTES'!$F$5:$F$204))</x:f>
      </x:c>
      <x:c r="F89" s="200" t="str">
        <x:f>IF(A89="","",SUMIF('02_PET_APORTES'!$H$5:$H$204,A89,'02_PET_APORTES'!$K$5:$K$204))</x:f>
      </x:c>
      <x:c r="G89" s="34"/>
      <x:c r="H89" s="78"/>
      <x:c r="I89" s="81"/>
      <x:c r="J89" s="34"/>
      <x:c r="K89" s="34"/>
      <x:c r="L89" s="34"/>
      <x:c r="M89" s="34"/>
      <x:c r="N89" s="35"/>
    </x:row>
    <x:row r="90">
      <x:c r="A90" s="34"/>
      <x:c r="B90" s="34"/>
      <x:c r="C90" s="78"/>
      <x:c r="D90" s="34"/>
      <x:c r="E90" s="204" t="str">
        <x:f>IF(A90="","",SUMIF('02_PET_APORTES'!$H$5:$H$204,A90,'02_PET_APORTES'!$F$5:$F$204))</x:f>
      </x:c>
      <x:c r="F90" s="200" t="str">
        <x:f>IF(A90="","",SUMIF('02_PET_APORTES'!$H$5:$H$204,A90,'02_PET_APORTES'!$K$5:$K$204))</x:f>
      </x:c>
      <x:c r="G90" s="34"/>
      <x:c r="H90" s="78"/>
      <x:c r="I90" s="81"/>
      <x:c r="J90" s="34"/>
      <x:c r="K90" s="34"/>
      <x:c r="L90" s="34"/>
      <x:c r="M90" s="34"/>
      <x:c r="N90" s="35"/>
    </x:row>
    <x:row r="91">
      <x:c r="A91" s="34"/>
      <x:c r="B91" s="34"/>
      <x:c r="C91" s="78"/>
      <x:c r="D91" s="34"/>
      <x:c r="E91" s="204" t="str">
        <x:f>IF(A91="","",SUMIF('02_PET_APORTES'!$H$5:$H$204,A91,'02_PET_APORTES'!$F$5:$F$204))</x:f>
      </x:c>
      <x:c r="F91" s="200" t="str">
        <x:f>IF(A91="","",SUMIF('02_PET_APORTES'!$H$5:$H$204,A91,'02_PET_APORTES'!$K$5:$K$204))</x:f>
      </x:c>
      <x:c r="G91" s="34"/>
      <x:c r="H91" s="78"/>
      <x:c r="I91" s="81"/>
      <x:c r="J91" s="34"/>
      <x:c r="K91" s="34"/>
      <x:c r="L91" s="34"/>
      <x:c r="M91" s="34"/>
      <x:c r="N91" s="35"/>
    </x:row>
    <x:row r="92">
      <x:c r="A92" s="34"/>
      <x:c r="B92" s="34"/>
      <x:c r="C92" s="78"/>
      <x:c r="D92" s="34"/>
      <x:c r="E92" s="204" t="str">
        <x:f>IF(A92="","",SUMIF('02_PET_APORTES'!$H$5:$H$204,A92,'02_PET_APORTES'!$F$5:$F$204))</x:f>
      </x:c>
      <x:c r="F92" s="200" t="str">
        <x:f>IF(A92="","",SUMIF('02_PET_APORTES'!$H$5:$H$204,A92,'02_PET_APORTES'!$K$5:$K$204))</x:f>
      </x:c>
      <x:c r="G92" s="34"/>
      <x:c r="H92" s="78"/>
      <x:c r="I92" s="81"/>
      <x:c r="J92" s="34"/>
      <x:c r="K92" s="34"/>
      <x:c r="L92" s="34"/>
      <x:c r="M92" s="34"/>
      <x:c r="N92" s="35"/>
    </x:row>
    <x:row r="93">
      <x:c r="A93" s="34"/>
      <x:c r="B93" s="34"/>
      <x:c r="C93" s="78"/>
      <x:c r="D93" s="34"/>
      <x:c r="E93" s="204" t="str">
        <x:f>IF(A93="","",SUMIF('02_PET_APORTES'!$H$5:$H$204,A93,'02_PET_APORTES'!$F$5:$F$204))</x:f>
      </x:c>
      <x:c r="F93" s="200" t="str">
        <x:f>IF(A93="","",SUMIF('02_PET_APORTES'!$H$5:$H$204,A93,'02_PET_APORTES'!$K$5:$K$204))</x:f>
      </x:c>
      <x:c r="G93" s="34"/>
      <x:c r="H93" s="78"/>
      <x:c r="I93" s="81"/>
      <x:c r="J93" s="34"/>
      <x:c r="K93" s="34"/>
      <x:c r="L93" s="34"/>
      <x:c r="M93" s="34"/>
      <x:c r="N93" s="35"/>
    </x:row>
    <x:row r="94">
      <x:c r="A94" s="34"/>
      <x:c r="B94" s="34"/>
      <x:c r="C94" s="78"/>
      <x:c r="D94" s="34"/>
      <x:c r="E94" s="204" t="str">
        <x:f>IF(A94="","",SUMIF('02_PET_APORTES'!$H$5:$H$204,A94,'02_PET_APORTES'!$F$5:$F$204))</x:f>
      </x:c>
      <x:c r="F94" s="200" t="str">
        <x:f>IF(A94="","",SUMIF('02_PET_APORTES'!$H$5:$H$204,A94,'02_PET_APORTES'!$K$5:$K$204))</x:f>
      </x:c>
      <x:c r="G94" s="34"/>
      <x:c r="H94" s="78"/>
      <x:c r="I94" s="81"/>
      <x:c r="J94" s="34"/>
      <x:c r="K94" s="34"/>
      <x:c r="L94" s="34"/>
      <x:c r="M94" s="34"/>
      <x:c r="N94" s="35"/>
    </x:row>
    <x:row r="95">
      <x:c r="A95" s="34"/>
      <x:c r="B95" s="34"/>
      <x:c r="C95" s="78"/>
      <x:c r="D95" s="34"/>
      <x:c r="E95" s="204" t="str">
        <x:f>IF(A95="","",SUMIF('02_PET_APORTES'!$H$5:$H$204,A95,'02_PET_APORTES'!$F$5:$F$204))</x:f>
      </x:c>
      <x:c r="F95" s="200" t="str">
        <x:f>IF(A95="","",SUMIF('02_PET_APORTES'!$H$5:$H$204,A95,'02_PET_APORTES'!$K$5:$K$204))</x:f>
      </x:c>
      <x:c r="G95" s="34"/>
      <x:c r="H95" s="78"/>
      <x:c r="I95" s="81"/>
      <x:c r="J95" s="34"/>
      <x:c r="K95" s="34"/>
      <x:c r="L95" s="34"/>
      <x:c r="M95" s="34"/>
      <x:c r="N95" s="35"/>
    </x:row>
    <x:row r="96">
      <x:c r="A96" s="34"/>
      <x:c r="B96" s="34"/>
      <x:c r="C96" s="78"/>
      <x:c r="D96" s="34"/>
      <x:c r="E96" s="204" t="str">
        <x:f>IF(A96="","",SUMIF('02_PET_APORTES'!$H$5:$H$204,A96,'02_PET_APORTES'!$F$5:$F$204))</x:f>
      </x:c>
      <x:c r="F96" s="200" t="str">
        <x:f>IF(A96="","",SUMIF('02_PET_APORTES'!$H$5:$H$204,A96,'02_PET_APORTES'!$K$5:$K$204))</x:f>
      </x:c>
      <x:c r="G96" s="34"/>
      <x:c r="H96" s="78"/>
      <x:c r="I96" s="81"/>
      <x:c r="J96" s="34"/>
      <x:c r="K96" s="34"/>
      <x:c r="L96" s="34"/>
      <x:c r="M96" s="34"/>
      <x:c r="N96" s="35"/>
    </x:row>
    <x:row r="97">
      <x:c r="A97" s="34"/>
      <x:c r="B97" s="34"/>
      <x:c r="C97" s="78"/>
      <x:c r="D97" s="34"/>
      <x:c r="E97" s="204" t="str">
        <x:f>IF(A97="","",SUMIF('02_PET_APORTES'!$H$5:$H$204,A97,'02_PET_APORTES'!$F$5:$F$204))</x:f>
      </x:c>
      <x:c r="F97" s="200" t="str">
        <x:f>IF(A97="","",SUMIF('02_PET_APORTES'!$H$5:$H$204,A97,'02_PET_APORTES'!$K$5:$K$204))</x:f>
      </x:c>
      <x:c r="G97" s="34"/>
      <x:c r="H97" s="78"/>
      <x:c r="I97" s="81"/>
      <x:c r="J97" s="34"/>
      <x:c r="K97" s="34"/>
      <x:c r="L97" s="34"/>
      <x:c r="M97" s="34"/>
      <x:c r="N97" s="35"/>
    </x:row>
    <x:row r="98">
      <x:c r="A98" s="34"/>
      <x:c r="B98" s="34"/>
      <x:c r="C98" s="78"/>
      <x:c r="D98" s="34"/>
      <x:c r="E98" s="204" t="str">
        <x:f>IF(A98="","",SUMIF('02_PET_APORTES'!$H$5:$H$204,A98,'02_PET_APORTES'!$F$5:$F$204))</x:f>
      </x:c>
      <x:c r="F98" s="200" t="str">
        <x:f>IF(A98="","",SUMIF('02_PET_APORTES'!$H$5:$H$204,A98,'02_PET_APORTES'!$K$5:$K$204))</x:f>
      </x:c>
      <x:c r="G98" s="34"/>
      <x:c r="H98" s="78"/>
      <x:c r="I98" s="81"/>
      <x:c r="J98" s="34"/>
      <x:c r="K98" s="34"/>
      <x:c r="L98" s="34"/>
      <x:c r="M98" s="34"/>
      <x:c r="N98" s="35"/>
    </x:row>
    <x:row r="99">
      <x:c r="A99" s="34"/>
      <x:c r="B99" s="34"/>
      <x:c r="C99" s="78"/>
      <x:c r="D99" s="34"/>
      <x:c r="E99" s="204" t="str">
        <x:f>IF(A99="","",SUMIF('02_PET_APORTES'!$H$5:$H$204,A99,'02_PET_APORTES'!$F$5:$F$204))</x:f>
      </x:c>
      <x:c r="F99" s="200" t="str">
        <x:f>IF(A99="","",SUMIF('02_PET_APORTES'!$H$5:$H$204,A99,'02_PET_APORTES'!$K$5:$K$204))</x:f>
      </x:c>
      <x:c r="G99" s="34"/>
      <x:c r="H99" s="78"/>
      <x:c r="I99" s="81"/>
      <x:c r="J99" s="34"/>
      <x:c r="K99" s="34"/>
      <x:c r="L99" s="34"/>
      <x:c r="M99" s="34"/>
      <x:c r="N99" s="35"/>
    </x:row>
    <x:row r="100">
      <x:c r="A100" s="34"/>
      <x:c r="B100" s="34"/>
      <x:c r="C100" s="78"/>
      <x:c r="D100" s="34"/>
      <x:c r="E100" s="204" t="str">
        <x:f>IF(A100="","",SUMIF('02_PET_APORTES'!$H$5:$H$204,A100,'02_PET_APORTES'!$F$5:$F$204))</x:f>
      </x:c>
      <x:c r="F100" s="200" t="str">
        <x:f>IF(A100="","",SUMIF('02_PET_APORTES'!$H$5:$H$204,A100,'02_PET_APORTES'!$K$5:$K$204))</x:f>
      </x:c>
      <x:c r="G100" s="34"/>
      <x:c r="H100" s="78"/>
      <x:c r="I100" s="81"/>
      <x:c r="J100" s="34"/>
      <x:c r="K100" s="34"/>
      <x:c r="L100" s="34"/>
      <x:c r="M100" s="34"/>
      <x:c r="N100" s="35"/>
    </x:row>
    <x:row r="101">
      <x:c r="A101" s="34"/>
      <x:c r="B101" s="34"/>
      <x:c r="C101" s="78"/>
      <x:c r="D101" s="34"/>
      <x:c r="E101" s="204" t="str">
        <x:f>IF(A101="","",SUMIF('02_PET_APORTES'!$H$5:$H$204,A101,'02_PET_APORTES'!$F$5:$F$204))</x:f>
      </x:c>
      <x:c r="F101" s="200" t="str">
        <x:f>IF(A101="","",SUMIF('02_PET_APORTES'!$H$5:$H$204,A101,'02_PET_APORTES'!$K$5:$K$204))</x:f>
      </x:c>
      <x:c r="G101" s="34"/>
      <x:c r="H101" s="78"/>
      <x:c r="I101" s="81"/>
      <x:c r="J101" s="34"/>
      <x:c r="K101" s="34"/>
      <x:c r="L101" s="34"/>
      <x:c r="M101" s="34"/>
      <x:c r="N101" s="35"/>
    </x:row>
    <x:row r="102">
      <x:c r="A102" s="34"/>
      <x:c r="B102" s="34"/>
      <x:c r="C102" s="78"/>
      <x:c r="D102" s="34"/>
      <x:c r="E102" s="204" t="str">
        <x:f>IF(A102="","",SUMIF('02_PET_APORTES'!$H$5:$H$204,A102,'02_PET_APORTES'!$F$5:$F$204))</x:f>
      </x:c>
      <x:c r="F102" s="200" t="str">
        <x:f>IF(A102="","",SUMIF('02_PET_APORTES'!$H$5:$H$204,A102,'02_PET_APORTES'!$K$5:$K$204))</x:f>
      </x:c>
      <x:c r="G102" s="34"/>
      <x:c r="H102" s="78"/>
      <x:c r="I102" s="81"/>
      <x:c r="J102" s="34"/>
      <x:c r="K102" s="34"/>
      <x:c r="L102" s="34"/>
      <x:c r="M102" s="34"/>
      <x:c r="N102" s="35"/>
    </x:row>
    <x:row r="103">
      <x:c r="A103" s="34"/>
      <x:c r="B103" s="34"/>
      <x:c r="C103" s="78"/>
      <x:c r="D103" s="34"/>
      <x:c r="E103" s="204" t="str">
        <x:f>IF(A103="","",SUMIF('02_PET_APORTES'!$H$5:$H$204,A103,'02_PET_APORTES'!$F$5:$F$204))</x:f>
      </x:c>
      <x:c r="F103" s="200" t="str">
        <x:f>IF(A103="","",SUMIF('02_PET_APORTES'!$H$5:$H$204,A103,'02_PET_APORTES'!$K$5:$K$204))</x:f>
      </x:c>
      <x:c r="G103" s="34"/>
      <x:c r="H103" s="78"/>
      <x:c r="I103" s="81"/>
      <x:c r="J103" s="34"/>
      <x:c r="K103" s="34"/>
      <x:c r="L103" s="34"/>
      <x:c r="M103" s="34"/>
      <x:c r="N103" s="35"/>
    </x:row>
    <x:row r="104">
      <x:c r="A104" s="34"/>
      <x:c r="B104" s="34"/>
      <x:c r="C104" s="78"/>
      <x:c r="D104" s="34"/>
      <x:c r="E104" s="204" t="str">
        <x:f>IF(A104="","",SUMIF('02_PET_APORTES'!$H$5:$H$204,A104,'02_PET_APORTES'!$F$5:$F$204))</x:f>
      </x:c>
      <x:c r="F104" s="200" t="str">
        <x:f>IF(A104="","",SUMIF('02_PET_APORTES'!$H$5:$H$204,A104,'02_PET_APORTES'!$K$5:$K$204))</x:f>
      </x:c>
      <x:c r="G104" s="34"/>
      <x:c r="H104" s="78"/>
      <x:c r="I104" s="81"/>
      <x:c r="J104" s="34"/>
      <x:c r="K104" s="34"/>
      <x:c r="L104" s="34"/>
      <x:c r="M104" s="34"/>
      <x:c r="N104" s="35"/>
    </x:row>
    <x:row r="105">
      <x:c r="A105" s="34"/>
      <x:c r="B105" s="34"/>
      <x:c r="C105" s="78"/>
      <x:c r="D105" s="34"/>
      <x:c r="E105" s="204" t="str">
        <x:f>IF(A105="","",SUMIF('02_PET_APORTES'!$H$5:$H$204,A105,'02_PET_APORTES'!$F$5:$F$204))</x:f>
      </x:c>
      <x:c r="F105" s="200" t="str">
        <x:f>IF(A105="","",SUMIF('02_PET_APORTES'!$H$5:$H$204,A105,'02_PET_APORTES'!$K$5:$K$204))</x:f>
      </x:c>
      <x:c r="G105" s="34"/>
      <x:c r="H105" s="78"/>
      <x:c r="I105" s="81"/>
      <x:c r="J105" s="34"/>
      <x:c r="K105" s="34"/>
      <x:c r="L105" s="34"/>
      <x:c r="M105" s="34"/>
      <x:c r="N105" s="35"/>
    </x:row>
    <x:row r="106">
      <x:c r="A106" s="34"/>
      <x:c r="B106" s="34"/>
      <x:c r="C106" s="78"/>
      <x:c r="D106" s="34"/>
      <x:c r="E106" s="204" t="str">
        <x:f>IF(A106="","",SUMIF('02_PET_APORTES'!$H$5:$H$204,A106,'02_PET_APORTES'!$F$5:$F$204))</x:f>
      </x:c>
      <x:c r="F106" s="200" t="str">
        <x:f>IF(A106="","",SUMIF('02_PET_APORTES'!$H$5:$H$204,A106,'02_PET_APORTES'!$K$5:$K$204))</x:f>
      </x:c>
      <x:c r="G106" s="34"/>
      <x:c r="H106" s="78"/>
      <x:c r="I106" s="81"/>
      <x:c r="J106" s="34"/>
      <x:c r="K106" s="34"/>
      <x:c r="L106" s="34"/>
      <x:c r="M106" s="34"/>
      <x:c r="N106" s="35"/>
    </x:row>
    <x:row r="107">
      <x:c r="A107" s="34"/>
      <x:c r="B107" s="34"/>
      <x:c r="C107" s="78"/>
      <x:c r="D107" s="34"/>
      <x:c r="E107" s="204" t="str">
        <x:f>IF(A107="","",SUMIF('02_PET_APORTES'!$H$5:$H$204,A107,'02_PET_APORTES'!$F$5:$F$204))</x:f>
      </x:c>
      <x:c r="F107" s="200" t="str">
        <x:f>IF(A107="","",SUMIF('02_PET_APORTES'!$H$5:$H$204,A107,'02_PET_APORTES'!$K$5:$K$204))</x:f>
      </x:c>
      <x:c r="G107" s="34"/>
      <x:c r="H107" s="78"/>
      <x:c r="I107" s="81"/>
      <x:c r="J107" s="34"/>
      <x:c r="K107" s="34"/>
      <x:c r="L107" s="34"/>
      <x:c r="M107" s="34"/>
      <x:c r="N107" s="35"/>
    </x:row>
    <x:row r="108">
      <x:c r="A108" s="34"/>
      <x:c r="B108" s="34"/>
      <x:c r="C108" s="78"/>
      <x:c r="D108" s="34"/>
      <x:c r="E108" s="204" t="str">
        <x:f>IF(A108="","",SUMIF('02_PET_APORTES'!$H$5:$H$204,A108,'02_PET_APORTES'!$F$5:$F$204))</x:f>
      </x:c>
      <x:c r="F108" s="200" t="str">
        <x:f>IF(A108="","",SUMIF('02_PET_APORTES'!$H$5:$H$204,A108,'02_PET_APORTES'!$K$5:$K$204))</x:f>
      </x:c>
      <x:c r="G108" s="34"/>
      <x:c r="H108" s="78"/>
      <x:c r="I108" s="81"/>
      <x:c r="J108" s="34"/>
      <x:c r="K108" s="34"/>
      <x:c r="L108" s="34"/>
      <x:c r="M108" s="34"/>
      <x:c r="N108" s="35"/>
    </x:row>
    <x:row r="109">
      <x:c r="A109" s="34"/>
      <x:c r="B109" s="34"/>
      <x:c r="C109" s="78"/>
      <x:c r="D109" s="34"/>
      <x:c r="E109" s="204" t="str">
        <x:f>IF(A109="","",SUMIF('02_PET_APORTES'!$H$5:$H$204,A109,'02_PET_APORTES'!$F$5:$F$204))</x:f>
      </x:c>
      <x:c r="F109" s="200" t="str">
        <x:f>IF(A109="","",SUMIF('02_PET_APORTES'!$H$5:$H$204,A109,'02_PET_APORTES'!$K$5:$K$204))</x:f>
      </x:c>
      <x:c r="G109" s="34"/>
      <x:c r="H109" s="78"/>
      <x:c r="I109" s="81"/>
      <x:c r="J109" s="34"/>
      <x:c r="K109" s="34"/>
      <x:c r="L109" s="34"/>
      <x:c r="M109" s="34"/>
      <x:c r="N109" s="35"/>
    </x:row>
    <x:row r="110">
      <x:c r="A110" s="34"/>
      <x:c r="B110" s="34"/>
      <x:c r="C110" s="78"/>
      <x:c r="D110" s="34"/>
      <x:c r="E110" s="204" t="str">
        <x:f>IF(A110="","",SUMIF('02_PET_APORTES'!$H$5:$H$204,A110,'02_PET_APORTES'!$F$5:$F$204))</x:f>
      </x:c>
      <x:c r="F110" s="200" t="str">
        <x:f>IF(A110="","",SUMIF('02_PET_APORTES'!$H$5:$H$204,A110,'02_PET_APORTES'!$K$5:$K$204))</x:f>
      </x:c>
      <x:c r="G110" s="34"/>
      <x:c r="H110" s="78"/>
      <x:c r="I110" s="81"/>
      <x:c r="J110" s="34"/>
      <x:c r="K110" s="34"/>
      <x:c r="L110" s="34"/>
      <x:c r="M110" s="34"/>
      <x:c r="N110" s="35"/>
    </x:row>
    <x:row r="111">
      <x:c r="A111" s="34"/>
      <x:c r="B111" s="34"/>
      <x:c r="C111" s="78"/>
      <x:c r="D111" s="34"/>
      <x:c r="E111" s="204" t="str">
        <x:f>IF(A111="","",SUMIF('02_PET_APORTES'!$H$5:$H$204,A111,'02_PET_APORTES'!$F$5:$F$204))</x:f>
      </x:c>
      <x:c r="F111" s="200" t="str">
        <x:f>IF(A111="","",SUMIF('02_PET_APORTES'!$H$5:$H$204,A111,'02_PET_APORTES'!$K$5:$K$204))</x:f>
      </x:c>
      <x:c r="G111" s="34"/>
      <x:c r="H111" s="78"/>
      <x:c r="I111" s="81"/>
      <x:c r="J111" s="34"/>
      <x:c r="K111" s="34"/>
      <x:c r="L111" s="34"/>
      <x:c r="M111" s="34"/>
      <x:c r="N111" s="35"/>
    </x:row>
    <x:row r="112">
      <x:c r="A112" s="34"/>
      <x:c r="B112" s="34"/>
      <x:c r="C112" s="78"/>
      <x:c r="D112" s="34"/>
      <x:c r="E112" s="204" t="str">
        <x:f>IF(A112="","",SUMIF('02_PET_APORTES'!$H$5:$H$204,A112,'02_PET_APORTES'!$F$5:$F$204))</x:f>
      </x:c>
      <x:c r="F112" s="200" t="str">
        <x:f>IF(A112="","",SUMIF('02_PET_APORTES'!$H$5:$H$204,A112,'02_PET_APORTES'!$K$5:$K$204))</x:f>
      </x:c>
      <x:c r="G112" s="34"/>
      <x:c r="H112" s="78"/>
      <x:c r="I112" s="81"/>
      <x:c r="J112" s="34"/>
      <x:c r="K112" s="34"/>
      <x:c r="L112" s="34"/>
      <x:c r="M112" s="34"/>
      <x:c r="N112" s="35"/>
    </x:row>
    <x:row r="113">
      <x:c r="A113" s="34"/>
      <x:c r="B113" s="34"/>
      <x:c r="C113" s="78"/>
      <x:c r="D113" s="34"/>
      <x:c r="E113" s="204" t="str">
        <x:f>IF(A113="","",SUMIF('02_PET_APORTES'!$H$5:$H$204,A113,'02_PET_APORTES'!$F$5:$F$204))</x:f>
      </x:c>
      <x:c r="F113" s="200" t="str">
        <x:f>IF(A113="","",SUMIF('02_PET_APORTES'!$H$5:$H$204,A113,'02_PET_APORTES'!$K$5:$K$204))</x:f>
      </x:c>
      <x:c r="G113" s="34"/>
      <x:c r="H113" s="78"/>
      <x:c r="I113" s="81"/>
      <x:c r="J113" s="34"/>
      <x:c r="K113" s="34"/>
      <x:c r="L113" s="34"/>
      <x:c r="M113" s="34"/>
      <x:c r="N113" s="35"/>
    </x:row>
    <x:row r="114">
      <x:c r="A114" s="34"/>
      <x:c r="B114" s="34"/>
      <x:c r="C114" s="78"/>
      <x:c r="D114" s="34"/>
      <x:c r="E114" s="204" t="str">
        <x:f>IF(A114="","",SUMIF('02_PET_APORTES'!$H$5:$H$204,A114,'02_PET_APORTES'!$F$5:$F$204))</x:f>
      </x:c>
      <x:c r="F114" s="200" t="str">
        <x:f>IF(A114="","",SUMIF('02_PET_APORTES'!$H$5:$H$204,A114,'02_PET_APORTES'!$K$5:$K$204))</x:f>
      </x:c>
      <x:c r="G114" s="34"/>
      <x:c r="H114" s="78"/>
      <x:c r="I114" s="81"/>
      <x:c r="J114" s="34"/>
      <x:c r="K114" s="34"/>
      <x:c r="L114" s="34"/>
      <x:c r="M114" s="34"/>
      <x:c r="N114" s="35"/>
    </x:row>
    <x:row r="115">
      <x:c r="A115" s="34"/>
      <x:c r="B115" s="34"/>
      <x:c r="C115" s="78"/>
      <x:c r="D115" s="34"/>
      <x:c r="E115" s="204" t="str">
        <x:f>IF(A115="","",SUMIF('02_PET_APORTES'!$H$5:$H$204,A115,'02_PET_APORTES'!$F$5:$F$204))</x:f>
      </x:c>
      <x:c r="F115" s="200" t="str">
        <x:f>IF(A115="","",SUMIF('02_PET_APORTES'!$H$5:$H$204,A115,'02_PET_APORTES'!$K$5:$K$204))</x:f>
      </x:c>
      <x:c r="G115" s="34"/>
      <x:c r="H115" s="78"/>
      <x:c r="I115" s="81"/>
      <x:c r="J115" s="34"/>
      <x:c r="K115" s="34"/>
      <x:c r="L115" s="34"/>
      <x:c r="M115" s="34"/>
      <x:c r="N115" s="35"/>
    </x:row>
    <x:row r="116">
      <x:c r="A116" s="34"/>
      <x:c r="B116" s="34"/>
      <x:c r="C116" s="78"/>
      <x:c r="D116" s="34"/>
      <x:c r="E116" s="204" t="str">
        <x:f>IF(A116="","",SUMIF('02_PET_APORTES'!$H$5:$H$204,A116,'02_PET_APORTES'!$F$5:$F$204))</x:f>
      </x:c>
      <x:c r="F116" s="200" t="str">
        <x:f>IF(A116="","",SUMIF('02_PET_APORTES'!$H$5:$H$204,A116,'02_PET_APORTES'!$K$5:$K$204))</x:f>
      </x:c>
      <x:c r="G116" s="34"/>
      <x:c r="H116" s="78"/>
      <x:c r="I116" s="81"/>
      <x:c r="J116" s="34"/>
      <x:c r="K116" s="34"/>
      <x:c r="L116" s="34"/>
      <x:c r="M116" s="34"/>
      <x:c r="N116" s="35"/>
    </x:row>
    <x:row r="117">
      <x:c r="A117" s="34"/>
      <x:c r="B117" s="34"/>
      <x:c r="C117" s="78"/>
      <x:c r="D117" s="34"/>
      <x:c r="E117" s="204" t="str">
        <x:f>IF(A117="","",SUMIF('02_PET_APORTES'!$H$5:$H$204,A117,'02_PET_APORTES'!$F$5:$F$204))</x:f>
      </x:c>
      <x:c r="F117" s="200" t="str">
        <x:f>IF(A117="","",SUMIF('02_PET_APORTES'!$H$5:$H$204,A117,'02_PET_APORTES'!$K$5:$K$204))</x:f>
      </x:c>
      <x:c r="G117" s="34"/>
      <x:c r="H117" s="78"/>
      <x:c r="I117" s="81"/>
      <x:c r="J117" s="34"/>
      <x:c r="K117" s="34"/>
      <x:c r="L117" s="34"/>
      <x:c r="M117" s="34"/>
      <x:c r="N117" s="35"/>
    </x:row>
    <x:row r="118">
      <x:c r="A118" s="34"/>
      <x:c r="B118" s="34"/>
      <x:c r="C118" s="78"/>
      <x:c r="D118" s="34"/>
      <x:c r="E118" s="204" t="str">
        <x:f>IF(A118="","",SUMIF('02_PET_APORTES'!$H$5:$H$204,A118,'02_PET_APORTES'!$F$5:$F$204))</x:f>
      </x:c>
      <x:c r="F118" s="200" t="str">
        <x:f>IF(A118="","",SUMIF('02_PET_APORTES'!$H$5:$H$204,A118,'02_PET_APORTES'!$K$5:$K$204))</x:f>
      </x:c>
      <x:c r="G118" s="34"/>
      <x:c r="H118" s="78"/>
      <x:c r="I118" s="81"/>
      <x:c r="J118" s="34"/>
      <x:c r="K118" s="34"/>
      <x:c r="L118" s="34"/>
      <x:c r="M118" s="34"/>
      <x:c r="N118" s="35"/>
    </x:row>
    <x:row r="119">
      <x:c r="A119" s="34"/>
      <x:c r="B119" s="34"/>
      <x:c r="C119" s="78"/>
      <x:c r="D119" s="34"/>
      <x:c r="E119" s="204" t="str">
        <x:f>IF(A119="","",SUMIF('02_PET_APORTES'!$H$5:$H$204,A119,'02_PET_APORTES'!$F$5:$F$204))</x:f>
      </x:c>
      <x:c r="F119" s="200" t="str">
        <x:f>IF(A119="","",SUMIF('02_PET_APORTES'!$H$5:$H$204,A119,'02_PET_APORTES'!$K$5:$K$204))</x:f>
      </x:c>
      <x:c r="G119" s="34"/>
      <x:c r="H119" s="78"/>
      <x:c r="I119" s="81"/>
      <x:c r="J119" s="34"/>
      <x:c r="K119" s="34"/>
      <x:c r="L119" s="34"/>
      <x:c r="M119" s="34"/>
      <x:c r="N119" s="35"/>
    </x:row>
    <x:row r="120">
      <x:c r="A120" s="34"/>
      <x:c r="B120" s="34"/>
      <x:c r="C120" s="78"/>
      <x:c r="D120" s="34"/>
      <x:c r="E120" s="204" t="str">
        <x:f>IF(A120="","",SUMIF('02_PET_APORTES'!$H$5:$H$204,A120,'02_PET_APORTES'!$F$5:$F$204))</x:f>
      </x:c>
      <x:c r="F120" s="200" t="str">
        <x:f>IF(A120="","",SUMIF('02_PET_APORTES'!$H$5:$H$204,A120,'02_PET_APORTES'!$K$5:$K$204))</x:f>
      </x:c>
      <x:c r="G120" s="34"/>
      <x:c r="H120" s="78"/>
      <x:c r="I120" s="81"/>
      <x:c r="J120" s="34"/>
      <x:c r="K120" s="34"/>
      <x:c r="L120" s="34"/>
      <x:c r="M120" s="34"/>
      <x:c r="N120" s="35"/>
    </x:row>
    <x:row r="121">
      <x:c r="A121" s="34"/>
      <x:c r="B121" s="34"/>
      <x:c r="C121" s="78"/>
      <x:c r="D121" s="34"/>
      <x:c r="E121" s="204" t="str">
        <x:f>IF(A121="","",SUMIF('02_PET_APORTES'!$H$5:$H$204,A121,'02_PET_APORTES'!$F$5:$F$204))</x:f>
      </x:c>
      <x:c r="F121" s="200" t="str">
        <x:f>IF(A121="","",SUMIF('02_PET_APORTES'!$H$5:$H$204,A121,'02_PET_APORTES'!$K$5:$K$204))</x:f>
      </x:c>
      <x:c r="G121" s="34"/>
      <x:c r="H121" s="78"/>
      <x:c r="I121" s="81"/>
      <x:c r="J121" s="34"/>
      <x:c r="K121" s="34"/>
      <x:c r="L121" s="34"/>
      <x:c r="M121" s="34"/>
      <x:c r="N121" s="35"/>
    </x:row>
    <x:row r="122">
      <x:c r="A122" s="34"/>
      <x:c r="B122" s="34"/>
      <x:c r="C122" s="78"/>
      <x:c r="D122" s="34"/>
      <x:c r="E122" s="204" t="str">
        <x:f>IF(A122="","",SUMIF('02_PET_APORTES'!$H$5:$H$204,A122,'02_PET_APORTES'!$F$5:$F$204))</x:f>
      </x:c>
      <x:c r="F122" s="200" t="str">
        <x:f>IF(A122="","",SUMIF('02_PET_APORTES'!$H$5:$H$204,A122,'02_PET_APORTES'!$K$5:$K$204))</x:f>
      </x:c>
      <x:c r="G122" s="34"/>
      <x:c r="H122" s="78"/>
      <x:c r="I122" s="81"/>
      <x:c r="J122" s="34"/>
      <x:c r="K122" s="34"/>
      <x:c r="L122" s="34"/>
      <x:c r="M122" s="34"/>
      <x:c r="N122" s="35"/>
    </x:row>
    <x:row r="123">
      <x:c r="A123" s="34"/>
      <x:c r="B123" s="34"/>
      <x:c r="C123" s="78"/>
      <x:c r="D123" s="34"/>
      <x:c r="E123" s="204" t="str">
        <x:f>IF(A123="","",SUMIF('02_PET_APORTES'!$H$5:$H$204,A123,'02_PET_APORTES'!$F$5:$F$204))</x:f>
      </x:c>
      <x:c r="F123" s="200" t="str">
        <x:f>IF(A123="","",SUMIF('02_PET_APORTES'!$H$5:$H$204,A123,'02_PET_APORTES'!$K$5:$K$204))</x:f>
      </x:c>
      <x:c r="G123" s="34"/>
      <x:c r="H123" s="78"/>
      <x:c r="I123" s="81"/>
      <x:c r="J123" s="34"/>
      <x:c r="K123" s="34"/>
      <x:c r="L123" s="34"/>
      <x:c r="M123" s="34"/>
      <x:c r="N123" s="35"/>
    </x:row>
    <x:row r="124">
      <x:c r="A124" s="34"/>
      <x:c r="B124" s="34"/>
      <x:c r="C124" s="78"/>
      <x:c r="D124" s="34"/>
      <x:c r="E124" s="204" t="str">
        <x:f>IF(A124="","",SUMIF('02_PET_APORTES'!$H$5:$H$204,A124,'02_PET_APORTES'!$F$5:$F$204))</x:f>
      </x:c>
      <x:c r="F124" s="200" t="str">
        <x:f>IF(A124="","",SUMIF('02_PET_APORTES'!$H$5:$H$204,A124,'02_PET_APORTES'!$K$5:$K$204))</x:f>
      </x:c>
      <x:c r="G124" s="34"/>
      <x:c r="H124" s="78"/>
      <x:c r="I124" s="81"/>
      <x:c r="J124" s="34"/>
      <x:c r="K124" s="34"/>
      <x:c r="L124" s="34"/>
      <x:c r="M124" s="34"/>
      <x:c r="N124" s="35"/>
    </x:row>
    <x:row r="125">
      <x:c r="A125" s="34"/>
      <x:c r="B125" s="34"/>
      <x:c r="C125" s="78"/>
      <x:c r="D125" s="34"/>
      <x:c r="E125" s="204" t="str">
        <x:f>IF(A125="","",SUMIF('02_PET_APORTES'!$H$5:$H$204,A125,'02_PET_APORTES'!$F$5:$F$204))</x:f>
      </x:c>
      <x:c r="F125" s="200" t="str">
        <x:f>IF(A125="","",SUMIF('02_PET_APORTES'!$H$5:$H$204,A125,'02_PET_APORTES'!$K$5:$K$204))</x:f>
      </x:c>
      <x:c r="G125" s="34"/>
      <x:c r="H125" s="78"/>
      <x:c r="I125" s="81"/>
      <x:c r="J125" s="34"/>
      <x:c r="K125" s="34"/>
      <x:c r="L125" s="34"/>
      <x:c r="M125" s="34"/>
      <x:c r="N125" s="35"/>
    </x:row>
    <x:row r="126">
      <x:c r="A126" s="34"/>
      <x:c r="B126" s="34"/>
      <x:c r="C126" s="78"/>
      <x:c r="D126" s="34"/>
      <x:c r="E126" s="204" t="str">
        <x:f>IF(A126="","",SUMIF('02_PET_APORTES'!$H$5:$H$204,A126,'02_PET_APORTES'!$F$5:$F$204))</x:f>
      </x:c>
      <x:c r="F126" s="200" t="str">
        <x:f>IF(A126="","",SUMIF('02_PET_APORTES'!$H$5:$H$204,A126,'02_PET_APORTES'!$K$5:$K$204))</x:f>
      </x:c>
      <x:c r="G126" s="34"/>
      <x:c r="H126" s="78"/>
      <x:c r="I126" s="81"/>
      <x:c r="J126" s="34"/>
      <x:c r="K126" s="34"/>
      <x:c r="L126" s="34"/>
      <x:c r="M126" s="34"/>
      <x:c r="N126" s="35"/>
    </x:row>
    <x:row r="127">
      <x:c r="A127" s="34"/>
      <x:c r="B127" s="34"/>
      <x:c r="C127" s="78"/>
      <x:c r="D127" s="34"/>
      <x:c r="E127" s="204" t="str">
        <x:f>IF(A127="","",SUMIF('02_PET_APORTES'!$H$5:$H$204,A127,'02_PET_APORTES'!$F$5:$F$204))</x:f>
      </x:c>
      <x:c r="F127" s="200" t="str">
        <x:f>IF(A127="","",SUMIF('02_PET_APORTES'!$H$5:$H$204,A127,'02_PET_APORTES'!$K$5:$K$204))</x:f>
      </x:c>
      <x:c r="G127" s="34"/>
      <x:c r="H127" s="78"/>
      <x:c r="I127" s="81"/>
      <x:c r="J127" s="34"/>
      <x:c r="K127" s="34"/>
      <x:c r="L127" s="34"/>
      <x:c r="M127" s="34"/>
      <x:c r="N127" s="35"/>
    </x:row>
    <x:row r="128">
      <x:c r="A128" s="34"/>
      <x:c r="B128" s="34"/>
      <x:c r="C128" s="78"/>
      <x:c r="D128" s="34"/>
      <x:c r="E128" s="204" t="str">
        <x:f>IF(A128="","",SUMIF('02_PET_APORTES'!$H$5:$H$204,A128,'02_PET_APORTES'!$F$5:$F$204))</x:f>
      </x:c>
      <x:c r="F128" s="200" t="str">
        <x:f>IF(A128="","",SUMIF('02_PET_APORTES'!$H$5:$H$204,A128,'02_PET_APORTES'!$K$5:$K$204))</x:f>
      </x:c>
      <x:c r="G128" s="34"/>
      <x:c r="H128" s="78"/>
      <x:c r="I128" s="81"/>
      <x:c r="J128" s="34"/>
      <x:c r="K128" s="34"/>
      <x:c r="L128" s="34"/>
      <x:c r="M128" s="34"/>
      <x:c r="N128" s="35"/>
    </x:row>
    <x:row r="129">
      <x:c r="A129" s="34"/>
      <x:c r="B129" s="34"/>
      <x:c r="C129" s="78"/>
      <x:c r="D129" s="34"/>
      <x:c r="E129" s="204" t="str">
        <x:f>IF(A129="","",SUMIF('02_PET_APORTES'!$H$5:$H$204,A129,'02_PET_APORTES'!$F$5:$F$204))</x:f>
      </x:c>
      <x:c r="F129" s="200" t="str">
        <x:f>IF(A129="","",SUMIF('02_PET_APORTES'!$H$5:$H$204,A129,'02_PET_APORTES'!$K$5:$K$204))</x:f>
      </x:c>
      <x:c r="G129" s="34"/>
      <x:c r="H129" s="78"/>
      <x:c r="I129" s="81"/>
      <x:c r="J129" s="34"/>
      <x:c r="K129" s="34"/>
      <x:c r="L129" s="34"/>
      <x:c r="M129" s="34"/>
      <x:c r="N129" s="35"/>
    </x:row>
    <x:row r="130">
      <x:c r="A130" s="34"/>
      <x:c r="B130" s="34"/>
      <x:c r="C130" s="78"/>
      <x:c r="D130" s="34"/>
      <x:c r="E130" s="204" t="str">
        <x:f>IF(A130="","",SUMIF('02_PET_APORTES'!$H$5:$H$204,A130,'02_PET_APORTES'!$F$5:$F$204))</x:f>
      </x:c>
      <x:c r="F130" s="200" t="str">
        <x:f>IF(A130="","",SUMIF('02_PET_APORTES'!$H$5:$H$204,A130,'02_PET_APORTES'!$K$5:$K$204))</x:f>
      </x:c>
      <x:c r="G130" s="34"/>
      <x:c r="H130" s="78"/>
      <x:c r="I130" s="81"/>
      <x:c r="J130" s="34"/>
      <x:c r="K130" s="34"/>
      <x:c r="L130" s="34"/>
      <x:c r="M130" s="34"/>
      <x:c r="N130" s="35"/>
    </x:row>
    <x:row r="131">
      <x:c r="A131" s="34"/>
      <x:c r="B131" s="34"/>
      <x:c r="C131" s="78"/>
      <x:c r="D131" s="34"/>
      <x:c r="E131" s="204" t="str">
        <x:f>IF(A131="","",SUMIF('02_PET_APORTES'!$H$5:$H$204,A131,'02_PET_APORTES'!$F$5:$F$204))</x:f>
      </x:c>
      <x:c r="F131" s="200" t="str">
        <x:f>IF(A131="","",SUMIF('02_PET_APORTES'!$H$5:$H$204,A131,'02_PET_APORTES'!$K$5:$K$204))</x:f>
      </x:c>
      <x:c r="G131" s="34"/>
      <x:c r="H131" s="78"/>
      <x:c r="I131" s="81"/>
      <x:c r="J131" s="34"/>
      <x:c r="K131" s="34"/>
      <x:c r="L131" s="34"/>
      <x:c r="M131" s="34"/>
      <x:c r="N131" s="35"/>
    </x:row>
    <x:row r="132">
      <x:c r="A132" s="34"/>
      <x:c r="B132" s="34"/>
      <x:c r="C132" s="78"/>
      <x:c r="D132" s="34"/>
      <x:c r="E132" s="204" t="str">
        <x:f>IF(A132="","",SUMIF('02_PET_APORTES'!$H$5:$H$204,A132,'02_PET_APORTES'!$F$5:$F$204))</x:f>
      </x:c>
      <x:c r="F132" s="200" t="str">
        <x:f>IF(A132="","",SUMIF('02_PET_APORTES'!$H$5:$H$204,A132,'02_PET_APORTES'!$K$5:$K$204))</x:f>
      </x:c>
      <x:c r="G132" s="34"/>
      <x:c r="H132" s="78"/>
      <x:c r="I132" s="81"/>
      <x:c r="J132" s="34"/>
      <x:c r="K132" s="34"/>
      <x:c r="L132" s="34"/>
      <x:c r="M132" s="34"/>
      <x:c r="N132" s="35"/>
    </x:row>
    <x:row r="133">
      <x:c r="A133" s="34"/>
      <x:c r="B133" s="34"/>
      <x:c r="C133" s="78"/>
      <x:c r="D133" s="34"/>
      <x:c r="E133" s="204" t="str">
        <x:f>IF(A133="","",SUMIF('02_PET_APORTES'!$H$5:$H$204,A133,'02_PET_APORTES'!$F$5:$F$204))</x:f>
      </x:c>
      <x:c r="F133" s="200" t="str">
        <x:f>IF(A133="","",SUMIF('02_PET_APORTES'!$H$5:$H$204,A133,'02_PET_APORTES'!$K$5:$K$204))</x:f>
      </x:c>
      <x:c r="G133" s="34"/>
      <x:c r="H133" s="78"/>
      <x:c r="I133" s="81"/>
      <x:c r="J133" s="34"/>
      <x:c r="K133" s="34"/>
      <x:c r="L133" s="34"/>
      <x:c r="M133" s="34"/>
      <x:c r="N133" s="35"/>
    </x:row>
    <x:row r="134">
      <x:c r="A134" s="34"/>
      <x:c r="B134" s="34"/>
      <x:c r="C134" s="78"/>
      <x:c r="D134" s="34"/>
      <x:c r="E134" s="204" t="str">
        <x:f>IF(A134="","",SUMIF('02_PET_APORTES'!$H$5:$H$204,A134,'02_PET_APORTES'!$F$5:$F$204))</x:f>
      </x:c>
      <x:c r="F134" s="200" t="str">
        <x:f>IF(A134="","",SUMIF('02_PET_APORTES'!$H$5:$H$204,A134,'02_PET_APORTES'!$K$5:$K$204))</x:f>
      </x:c>
      <x:c r="G134" s="34"/>
      <x:c r="H134" s="78"/>
      <x:c r="I134" s="81"/>
      <x:c r="J134" s="34"/>
      <x:c r="K134" s="34"/>
      <x:c r="L134" s="34"/>
      <x:c r="M134" s="34"/>
      <x:c r="N134" s="35"/>
    </x:row>
    <x:row r="135">
      <x:c r="A135" s="34"/>
      <x:c r="B135" s="34"/>
      <x:c r="C135" s="78"/>
      <x:c r="D135" s="34"/>
      <x:c r="E135" s="204" t="str">
        <x:f>IF(A135="","",SUMIF('02_PET_APORTES'!$H$5:$H$204,A135,'02_PET_APORTES'!$F$5:$F$204))</x:f>
      </x:c>
      <x:c r="F135" s="200" t="str">
        <x:f>IF(A135="","",SUMIF('02_PET_APORTES'!$H$5:$H$204,A135,'02_PET_APORTES'!$K$5:$K$204))</x:f>
      </x:c>
      <x:c r="G135" s="34"/>
      <x:c r="H135" s="78"/>
      <x:c r="I135" s="81"/>
      <x:c r="J135" s="34"/>
      <x:c r="K135" s="34"/>
      <x:c r="L135" s="34"/>
      <x:c r="M135" s="34"/>
      <x:c r="N135" s="35"/>
    </x:row>
    <x:row r="136">
      <x:c r="A136" s="34"/>
      <x:c r="B136" s="34"/>
      <x:c r="C136" s="78"/>
      <x:c r="D136" s="34"/>
      <x:c r="E136" s="204" t="str">
        <x:f>IF(A136="","",SUMIF('02_PET_APORTES'!$H$5:$H$204,A136,'02_PET_APORTES'!$F$5:$F$204))</x:f>
      </x:c>
      <x:c r="F136" s="200" t="str">
        <x:f>IF(A136="","",SUMIF('02_PET_APORTES'!$H$5:$H$204,A136,'02_PET_APORTES'!$K$5:$K$204))</x:f>
      </x:c>
      <x:c r="G136" s="34"/>
      <x:c r="H136" s="78"/>
      <x:c r="I136" s="81"/>
      <x:c r="J136" s="34"/>
      <x:c r="K136" s="34"/>
      <x:c r="L136" s="34"/>
      <x:c r="M136" s="34"/>
      <x:c r="N136" s="35"/>
    </x:row>
    <x:row r="137">
      <x:c r="A137" s="34"/>
      <x:c r="B137" s="34"/>
      <x:c r="C137" s="78"/>
      <x:c r="D137" s="34"/>
      <x:c r="E137" s="204" t="str">
        <x:f>IF(A137="","",SUMIF('02_PET_APORTES'!$H$5:$H$204,A137,'02_PET_APORTES'!$F$5:$F$204))</x:f>
      </x:c>
      <x:c r="F137" s="200" t="str">
        <x:f>IF(A137="","",SUMIF('02_PET_APORTES'!$H$5:$H$204,A137,'02_PET_APORTES'!$K$5:$K$204))</x:f>
      </x:c>
      <x:c r="G137" s="34"/>
      <x:c r="H137" s="78"/>
      <x:c r="I137" s="81"/>
      <x:c r="J137" s="34"/>
      <x:c r="K137" s="34"/>
      <x:c r="L137" s="34"/>
      <x:c r="M137" s="34"/>
      <x:c r="N137" s="35"/>
    </x:row>
    <x:row r="138">
      <x:c r="A138" s="34"/>
      <x:c r="B138" s="34"/>
      <x:c r="C138" s="78"/>
      <x:c r="D138" s="34"/>
      <x:c r="E138" s="204" t="str">
        <x:f>IF(A138="","",SUMIF('02_PET_APORTES'!$H$5:$H$204,A138,'02_PET_APORTES'!$F$5:$F$204))</x:f>
      </x:c>
      <x:c r="F138" s="200" t="str">
        <x:f>IF(A138="","",SUMIF('02_PET_APORTES'!$H$5:$H$204,A138,'02_PET_APORTES'!$K$5:$K$204))</x:f>
      </x:c>
      <x:c r="G138" s="34"/>
      <x:c r="H138" s="78"/>
      <x:c r="I138" s="81"/>
      <x:c r="J138" s="34"/>
      <x:c r="K138" s="34"/>
      <x:c r="L138" s="34"/>
      <x:c r="M138" s="34"/>
      <x:c r="N138" s="35"/>
    </x:row>
    <x:row r="139">
      <x:c r="A139" s="34"/>
      <x:c r="B139" s="34"/>
      <x:c r="C139" s="78"/>
      <x:c r="D139" s="34"/>
      <x:c r="E139" s="204" t="str">
        <x:f>IF(A139="","",SUMIF('02_PET_APORTES'!$H$5:$H$204,A139,'02_PET_APORTES'!$F$5:$F$204))</x:f>
      </x:c>
      <x:c r="F139" s="200" t="str">
        <x:f>IF(A139="","",SUMIF('02_PET_APORTES'!$H$5:$H$204,A139,'02_PET_APORTES'!$K$5:$K$204))</x:f>
      </x:c>
      <x:c r="G139" s="34"/>
      <x:c r="H139" s="78"/>
      <x:c r="I139" s="81"/>
      <x:c r="J139" s="34"/>
      <x:c r="K139" s="34"/>
      <x:c r="L139" s="34"/>
      <x:c r="M139" s="34"/>
      <x:c r="N139" s="35"/>
    </x:row>
    <x:row r="140">
      <x:c r="A140" s="34"/>
      <x:c r="B140" s="34"/>
      <x:c r="C140" s="78"/>
      <x:c r="D140" s="34"/>
      <x:c r="E140" s="204" t="str">
        <x:f>IF(A140="","",SUMIF('02_PET_APORTES'!$H$5:$H$204,A140,'02_PET_APORTES'!$F$5:$F$204))</x:f>
      </x:c>
      <x:c r="F140" s="200" t="str">
        <x:f>IF(A140="","",SUMIF('02_PET_APORTES'!$H$5:$H$204,A140,'02_PET_APORTES'!$K$5:$K$204))</x:f>
      </x:c>
      <x:c r="G140" s="34"/>
      <x:c r="H140" s="78"/>
      <x:c r="I140" s="81"/>
      <x:c r="J140" s="34"/>
      <x:c r="K140" s="34"/>
      <x:c r="L140" s="34"/>
      <x:c r="M140" s="34"/>
      <x:c r="N140" s="35"/>
    </x:row>
    <x:row r="141">
      <x:c r="A141" s="34"/>
      <x:c r="B141" s="34"/>
      <x:c r="C141" s="78"/>
      <x:c r="D141" s="34"/>
      <x:c r="E141" s="204" t="str">
        <x:f>IF(A141="","",SUMIF('02_PET_APORTES'!$H$5:$H$204,A141,'02_PET_APORTES'!$F$5:$F$204))</x:f>
      </x:c>
      <x:c r="F141" s="200" t="str">
        <x:f>IF(A141="","",SUMIF('02_PET_APORTES'!$H$5:$H$204,A141,'02_PET_APORTES'!$K$5:$K$204))</x:f>
      </x:c>
      <x:c r="G141" s="34"/>
      <x:c r="H141" s="78"/>
      <x:c r="I141" s="81"/>
      <x:c r="J141" s="34"/>
      <x:c r="K141" s="34"/>
      <x:c r="L141" s="34"/>
      <x:c r="M141" s="34"/>
      <x:c r="N141" s="35"/>
    </x:row>
    <x:row r="142">
      <x:c r="A142" s="34"/>
      <x:c r="B142" s="34"/>
      <x:c r="C142" s="78"/>
      <x:c r="D142" s="34"/>
      <x:c r="E142" s="204" t="str">
        <x:f>IF(A142="","",SUMIF('02_PET_APORTES'!$H$5:$H$204,A142,'02_PET_APORTES'!$F$5:$F$204))</x:f>
      </x:c>
      <x:c r="F142" s="200" t="str">
        <x:f>IF(A142="","",SUMIF('02_PET_APORTES'!$H$5:$H$204,A142,'02_PET_APORTES'!$K$5:$K$204))</x:f>
      </x:c>
      <x:c r="G142" s="34"/>
      <x:c r="H142" s="78"/>
      <x:c r="I142" s="81"/>
      <x:c r="J142" s="34"/>
      <x:c r="K142" s="34"/>
      <x:c r="L142" s="34"/>
      <x:c r="M142" s="34"/>
      <x:c r="N142" s="35"/>
    </x:row>
    <x:row r="143">
      <x:c r="A143" s="34"/>
      <x:c r="B143" s="34"/>
      <x:c r="C143" s="78"/>
      <x:c r="D143" s="34"/>
      <x:c r="E143" s="204" t="str">
        <x:f>IF(A143="","",SUMIF('02_PET_APORTES'!$H$5:$H$204,A143,'02_PET_APORTES'!$F$5:$F$204))</x:f>
      </x:c>
      <x:c r="F143" s="200" t="str">
        <x:f>IF(A143="","",SUMIF('02_PET_APORTES'!$H$5:$H$204,A143,'02_PET_APORTES'!$K$5:$K$204))</x:f>
      </x:c>
      <x:c r="G143" s="34"/>
      <x:c r="H143" s="78"/>
      <x:c r="I143" s="81"/>
      <x:c r="J143" s="34"/>
      <x:c r="K143" s="34"/>
      <x:c r="L143" s="34"/>
      <x:c r="M143" s="34"/>
      <x:c r="N143" s="35"/>
    </x:row>
    <x:row r="144">
      <x:c r="A144" s="34"/>
      <x:c r="B144" s="34"/>
      <x:c r="C144" s="78"/>
      <x:c r="D144" s="34"/>
      <x:c r="E144" s="204" t="str">
        <x:f>IF(A144="","",SUMIF('02_PET_APORTES'!$H$5:$H$204,A144,'02_PET_APORTES'!$F$5:$F$204))</x:f>
      </x:c>
      <x:c r="F144" s="200" t="str">
        <x:f>IF(A144="","",SUMIF('02_PET_APORTES'!$H$5:$H$204,A144,'02_PET_APORTES'!$K$5:$K$204))</x:f>
      </x:c>
      <x:c r="G144" s="34"/>
      <x:c r="H144" s="78"/>
      <x:c r="I144" s="81"/>
      <x:c r="J144" s="34"/>
      <x:c r="K144" s="34"/>
      <x:c r="L144" s="34"/>
      <x:c r="M144" s="34"/>
      <x:c r="N144" s="35"/>
    </x:row>
    <x:row r="145">
      <x:c r="A145" s="34"/>
      <x:c r="B145" s="34"/>
      <x:c r="C145" s="78"/>
      <x:c r="D145" s="34"/>
      <x:c r="E145" s="204" t="str">
        <x:f>IF(A145="","",SUMIF('02_PET_APORTES'!$H$5:$H$204,A145,'02_PET_APORTES'!$F$5:$F$204))</x:f>
      </x:c>
      <x:c r="F145" s="200" t="str">
        <x:f>IF(A145="","",SUMIF('02_PET_APORTES'!$H$5:$H$204,A145,'02_PET_APORTES'!$K$5:$K$204))</x:f>
      </x:c>
      <x:c r="G145" s="34"/>
      <x:c r="H145" s="78"/>
      <x:c r="I145" s="81"/>
      <x:c r="J145" s="34"/>
      <x:c r="K145" s="34"/>
      <x:c r="L145" s="34"/>
      <x:c r="M145" s="34"/>
      <x:c r="N145" s="35"/>
    </x:row>
    <x:row r="146">
      <x:c r="A146" s="34"/>
      <x:c r="B146" s="34"/>
      <x:c r="C146" s="78"/>
      <x:c r="D146" s="34"/>
      <x:c r="E146" s="204" t="str">
        <x:f>IF(A146="","",SUMIF('02_PET_APORTES'!$H$5:$H$204,A146,'02_PET_APORTES'!$F$5:$F$204))</x:f>
      </x:c>
      <x:c r="F146" s="200" t="str">
        <x:f>IF(A146="","",SUMIF('02_PET_APORTES'!$H$5:$H$204,A146,'02_PET_APORTES'!$K$5:$K$204))</x:f>
      </x:c>
      <x:c r="G146" s="34"/>
      <x:c r="H146" s="78"/>
      <x:c r="I146" s="81"/>
      <x:c r="J146" s="34"/>
      <x:c r="K146" s="34"/>
      <x:c r="L146" s="34"/>
      <x:c r="M146" s="34"/>
      <x:c r="N146" s="35"/>
    </x:row>
    <x:row r="147">
      <x:c r="A147" s="34"/>
      <x:c r="B147" s="34"/>
      <x:c r="C147" s="78"/>
      <x:c r="D147" s="34"/>
      <x:c r="E147" s="204" t="str">
        <x:f>IF(A147="","",SUMIF('02_PET_APORTES'!$H$5:$H$204,A147,'02_PET_APORTES'!$F$5:$F$204))</x:f>
      </x:c>
      <x:c r="F147" s="200" t="str">
        <x:f>IF(A147="","",SUMIF('02_PET_APORTES'!$H$5:$H$204,A147,'02_PET_APORTES'!$K$5:$K$204))</x:f>
      </x:c>
      <x:c r="G147" s="34"/>
      <x:c r="H147" s="78"/>
      <x:c r="I147" s="81"/>
      <x:c r="J147" s="34"/>
      <x:c r="K147" s="34"/>
      <x:c r="L147" s="34"/>
      <x:c r="M147" s="34"/>
      <x:c r="N147" s="35"/>
    </x:row>
    <x:row r="148">
      <x:c r="A148" s="34"/>
      <x:c r="B148" s="34"/>
      <x:c r="C148" s="78"/>
      <x:c r="D148" s="34"/>
      <x:c r="E148" s="204" t="str">
        <x:f>IF(A148="","",SUMIF('02_PET_APORTES'!$H$5:$H$204,A148,'02_PET_APORTES'!$F$5:$F$204))</x:f>
      </x:c>
      <x:c r="F148" s="200" t="str">
        <x:f>IF(A148="","",SUMIF('02_PET_APORTES'!$H$5:$H$204,A148,'02_PET_APORTES'!$K$5:$K$204))</x:f>
      </x:c>
      <x:c r="G148" s="34"/>
      <x:c r="H148" s="78"/>
      <x:c r="I148" s="81"/>
      <x:c r="J148" s="34"/>
      <x:c r="K148" s="34"/>
      <x:c r="L148" s="34"/>
      <x:c r="M148" s="34"/>
      <x:c r="N148" s="35"/>
    </x:row>
    <x:row r="149">
      <x:c r="A149" s="34"/>
      <x:c r="B149" s="34"/>
      <x:c r="C149" s="78"/>
      <x:c r="D149" s="34"/>
      <x:c r="E149" s="204" t="str">
        <x:f>IF(A149="","",SUMIF('02_PET_APORTES'!$H$5:$H$204,A149,'02_PET_APORTES'!$F$5:$F$204))</x:f>
      </x:c>
      <x:c r="F149" s="200" t="str">
        <x:f>IF(A149="","",SUMIF('02_PET_APORTES'!$H$5:$H$204,A149,'02_PET_APORTES'!$K$5:$K$204))</x:f>
      </x:c>
      <x:c r="G149" s="34"/>
      <x:c r="H149" s="78"/>
      <x:c r="I149" s="81"/>
      <x:c r="J149" s="34"/>
      <x:c r="K149" s="34"/>
      <x:c r="L149" s="34"/>
      <x:c r="M149" s="34"/>
      <x:c r="N149" s="35"/>
    </x:row>
    <x:row r="150">
      <x:c r="A150" s="34"/>
      <x:c r="B150" s="34"/>
      <x:c r="C150" s="78"/>
      <x:c r="D150" s="34"/>
      <x:c r="E150" s="204" t="str">
        <x:f>IF(A150="","",SUMIF('02_PET_APORTES'!$H$5:$H$204,A150,'02_PET_APORTES'!$F$5:$F$204))</x:f>
      </x:c>
      <x:c r="F150" s="200" t="str">
        <x:f>IF(A150="","",SUMIF('02_PET_APORTES'!$H$5:$H$204,A150,'02_PET_APORTES'!$K$5:$K$204))</x:f>
      </x:c>
      <x:c r="G150" s="34"/>
      <x:c r="H150" s="78"/>
      <x:c r="I150" s="81"/>
      <x:c r="J150" s="34"/>
      <x:c r="K150" s="34"/>
      <x:c r="L150" s="34"/>
      <x:c r="M150" s="34"/>
      <x:c r="N150" s="35"/>
    </x:row>
    <x:row r="151">
      <x:c r="A151" s="34"/>
      <x:c r="B151" s="34"/>
      <x:c r="C151" s="78"/>
      <x:c r="D151" s="34"/>
      <x:c r="E151" s="204" t="str">
        <x:f>IF(A151="","",SUMIF('02_PET_APORTES'!$H$5:$H$204,A151,'02_PET_APORTES'!$F$5:$F$204))</x:f>
      </x:c>
      <x:c r="F151" s="200" t="str">
        <x:f>IF(A151="","",SUMIF('02_PET_APORTES'!$H$5:$H$204,A151,'02_PET_APORTES'!$K$5:$K$204))</x:f>
      </x:c>
      <x:c r="G151" s="34"/>
      <x:c r="H151" s="78"/>
      <x:c r="I151" s="81"/>
      <x:c r="J151" s="34"/>
      <x:c r="K151" s="34"/>
      <x:c r="L151" s="34"/>
      <x:c r="M151" s="34"/>
      <x:c r="N151" s="35"/>
    </x:row>
    <x:row r="152">
      <x:c r="A152" s="34"/>
      <x:c r="B152" s="34"/>
      <x:c r="C152" s="78"/>
      <x:c r="D152" s="34"/>
      <x:c r="E152" s="204" t="str">
        <x:f>IF(A152="","",SUMIF('02_PET_APORTES'!$H$5:$H$204,A152,'02_PET_APORTES'!$F$5:$F$204))</x:f>
      </x:c>
      <x:c r="F152" s="200" t="str">
        <x:f>IF(A152="","",SUMIF('02_PET_APORTES'!$H$5:$H$204,A152,'02_PET_APORTES'!$K$5:$K$204))</x:f>
      </x:c>
      <x:c r="G152" s="34"/>
      <x:c r="H152" s="78"/>
      <x:c r="I152" s="81"/>
      <x:c r="J152" s="34"/>
      <x:c r="K152" s="34"/>
      <x:c r="L152" s="34"/>
      <x:c r="M152" s="34"/>
      <x:c r="N152" s="35"/>
    </x:row>
    <x:row r="153">
      <x:c r="A153" s="34"/>
      <x:c r="B153" s="34"/>
      <x:c r="C153" s="78"/>
      <x:c r="D153" s="34"/>
      <x:c r="E153" s="204" t="str">
        <x:f>IF(A153="","",SUMIF('02_PET_APORTES'!$H$5:$H$204,A153,'02_PET_APORTES'!$F$5:$F$204))</x:f>
      </x:c>
      <x:c r="F153" s="200" t="str">
        <x:f>IF(A153="","",SUMIF('02_PET_APORTES'!$H$5:$H$204,A153,'02_PET_APORTES'!$K$5:$K$204))</x:f>
      </x:c>
      <x:c r="G153" s="34"/>
      <x:c r="H153" s="78"/>
      <x:c r="I153" s="81"/>
      <x:c r="J153" s="34"/>
      <x:c r="K153" s="34"/>
      <x:c r="L153" s="34"/>
      <x:c r="M153" s="34"/>
      <x:c r="N153" s="35"/>
    </x:row>
    <x:row r="154">
      <x:c r="A154" s="34"/>
      <x:c r="B154" s="34"/>
      <x:c r="C154" s="78"/>
      <x:c r="D154" s="34"/>
      <x:c r="E154" s="204" t="str">
        <x:f>IF(A154="","",SUMIF('02_PET_APORTES'!$H$5:$H$204,A154,'02_PET_APORTES'!$F$5:$F$204))</x:f>
      </x:c>
      <x:c r="F154" s="200" t="str">
        <x:f>IF(A154="","",SUMIF('02_PET_APORTES'!$H$5:$H$204,A154,'02_PET_APORTES'!$K$5:$K$204))</x:f>
      </x:c>
      <x:c r="G154" s="34"/>
      <x:c r="H154" s="78"/>
      <x:c r="I154" s="81"/>
      <x:c r="J154" s="34"/>
      <x:c r="K154" s="34"/>
      <x:c r="L154" s="34"/>
      <x:c r="M154" s="34"/>
      <x:c r="N154" s="35"/>
    </x:row>
    <x:row r="155">
      <x:c r="A155" s="34"/>
      <x:c r="B155" s="34"/>
      <x:c r="C155" s="78"/>
      <x:c r="D155" s="34"/>
      <x:c r="E155" s="204" t="str">
        <x:f>IF(A155="","",SUMIF('02_PET_APORTES'!$H$5:$H$204,A155,'02_PET_APORTES'!$F$5:$F$204))</x:f>
      </x:c>
      <x:c r="F155" s="200" t="str">
        <x:f>IF(A155="","",SUMIF('02_PET_APORTES'!$H$5:$H$204,A155,'02_PET_APORTES'!$K$5:$K$204))</x:f>
      </x:c>
      <x:c r="G155" s="34"/>
      <x:c r="H155" s="78"/>
      <x:c r="I155" s="81"/>
      <x:c r="J155" s="34"/>
      <x:c r="K155" s="34"/>
      <x:c r="L155" s="34"/>
      <x:c r="M155" s="34"/>
      <x:c r="N155" s="35"/>
    </x:row>
    <x:row r="156">
      <x:c r="A156" s="34"/>
      <x:c r="B156" s="34"/>
      <x:c r="C156" s="78"/>
      <x:c r="D156" s="34"/>
      <x:c r="E156" s="204" t="str">
        <x:f>IF(A156="","",SUMIF('02_PET_APORTES'!$H$5:$H$204,A156,'02_PET_APORTES'!$F$5:$F$204))</x:f>
      </x:c>
      <x:c r="F156" s="200" t="str">
        <x:f>IF(A156="","",SUMIF('02_PET_APORTES'!$H$5:$H$204,A156,'02_PET_APORTES'!$K$5:$K$204))</x:f>
      </x:c>
      <x:c r="G156" s="34"/>
      <x:c r="H156" s="78"/>
      <x:c r="I156" s="81"/>
      <x:c r="J156" s="34"/>
      <x:c r="K156" s="34"/>
      <x:c r="L156" s="34"/>
      <x:c r="M156" s="34"/>
      <x:c r="N156" s="35"/>
    </x:row>
    <x:row r="157">
      <x:c r="A157" s="34"/>
      <x:c r="B157" s="34"/>
      <x:c r="C157" s="78"/>
      <x:c r="D157" s="34"/>
      <x:c r="E157" s="204" t="str">
        <x:f>IF(A157="","",SUMIF('02_PET_APORTES'!$H$5:$H$204,A157,'02_PET_APORTES'!$F$5:$F$204))</x:f>
      </x:c>
      <x:c r="F157" s="200" t="str">
        <x:f>IF(A157="","",SUMIF('02_PET_APORTES'!$H$5:$H$204,A157,'02_PET_APORTES'!$K$5:$K$204))</x:f>
      </x:c>
      <x:c r="G157" s="34"/>
      <x:c r="H157" s="78"/>
      <x:c r="I157" s="81"/>
      <x:c r="J157" s="34"/>
      <x:c r="K157" s="34"/>
      <x:c r="L157" s="34"/>
      <x:c r="M157" s="34"/>
      <x:c r="N157" s="35"/>
    </x:row>
    <x:row r="158">
      <x:c r="A158" s="34"/>
      <x:c r="B158" s="34"/>
      <x:c r="C158" s="78"/>
      <x:c r="D158" s="34"/>
      <x:c r="E158" s="204" t="str">
        <x:f>IF(A158="","",SUMIF('02_PET_APORTES'!$H$5:$H$204,A158,'02_PET_APORTES'!$F$5:$F$204))</x:f>
      </x:c>
      <x:c r="F158" s="200" t="str">
        <x:f>IF(A158="","",SUMIF('02_PET_APORTES'!$H$5:$H$204,A158,'02_PET_APORTES'!$K$5:$K$204))</x:f>
      </x:c>
      <x:c r="G158" s="34"/>
      <x:c r="H158" s="78"/>
      <x:c r="I158" s="81"/>
      <x:c r="J158" s="34"/>
      <x:c r="K158" s="34"/>
      <x:c r="L158" s="34"/>
      <x:c r="M158" s="34"/>
      <x:c r="N158" s="35"/>
    </x:row>
    <x:row r="159">
      <x:c r="A159" s="34"/>
      <x:c r="B159" s="34"/>
      <x:c r="C159" s="78"/>
      <x:c r="D159" s="34"/>
      <x:c r="E159" s="204" t="str">
        <x:f>IF(A159="","",SUMIF('02_PET_APORTES'!$H$5:$H$204,A159,'02_PET_APORTES'!$F$5:$F$204))</x:f>
      </x:c>
      <x:c r="F159" s="200" t="str">
        <x:f>IF(A159="","",SUMIF('02_PET_APORTES'!$H$5:$H$204,A159,'02_PET_APORTES'!$K$5:$K$204))</x:f>
      </x:c>
      <x:c r="G159" s="34"/>
      <x:c r="H159" s="78"/>
      <x:c r="I159" s="81"/>
      <x:c r="J159" s="34"/>
      <x:c r="K159" s="34"/>
      <x:c r="L159" s="34"/>
      <x:c r="M159" s="34"/>
      <x:c r="N159" s="35"/>
    </x:row>
    <x:row r="160">
      <x:c r="A160" s="34"/>
      <x:c r="B160" s="34"/>
      <x:c r="C160" s="78"/>
      <x:c r="D160" s="34"/>
      <x:c r="E160" s="204" t="str">
        <x:f>IF(A160="","",SUMIF('02_PET_APORTES'!$H$5:$H$204,A160,'02_PET_APORTES'!$F$5:$F$204))</x:f>
      </x:c>
      <x:c r="F160" s="200" t="str">
        <x:f>IF(A160="","",SUMIF('02_PET_APORTES'!$H$5:$H$204,A160,'02_PET_APORTES'!$K$5:$K$204))</x:f>
      </x:c>
      <x:c r="G160" s="34"/>
      <x:c r="H160" s="78"/>
      <x:c r="I160" s="81"/>
      <x:c r="J160" s="34"/>
      <x:c r="K160" s="34"/>
      <x:c r="L160" s="34"/>
      <x:c r="M160" s="34"/>
      <x:c r="N160" s="35"/>
    </x:row>
    <x:row r="161">
      <x:c r="A161" s="34"/>
      <x:c r="B161" s="34"/>
      <x:c r="C161" s="78"/>
      <x:c r="D161" s="34"/>
      <x:c r="E161" s="204" t="str">
        <x:f>IF(A161="","",SUMIF('02_PET_APORTES'!$H$5:$H$204,A161,'02_PET_APORTES'!$F$5:$F$204))</x:f>
      </x:c>
      <x:c r="F161" s="200" t="str">
        <x:f>IF(A161="","",SUMIF('02_PET_APORTES'!$H$5:$H$204,A161,'02_PET_APORTES'!$K$5:$K$204))</x:f>
      </x:c>
      <x:c r="G161" s="34"/>
      <x:c r="H161" s="78"/>
      <x:c r="I161" s="81"/>
      <x:c r="J161" s="34"/>
      <x:c r="K161" s="34"/>
      <x:c r="L161" s="34"/>
      <x:c r="M161" s="34"/>
      <x:c r="N161" s="35"/>
    </x:row>
    <x:row r="162">
      <x:c r="A162" s="34"/>
      <x:c r="B162" s="34"/>
      <x:c r="C162" s="78"/>
      <x:c r="D162" s="34"/>
      <x:c r="E162" s="204" t="str">
        <x:f>IF(A162="","",SUMIF('02_PET_APORTES'!$H$5:$H$204,A162,'02_PET_APORTES'!$F$5:$F$204))</x:f>
      </x:c>
      <x:c r="F162" s="200" t="str">
        <x:f>IF(A162="","",SUMIF('02_PET_APORTES'!$H$5:$H$204,A162,'02_PET_APORTES'!$K$5:$K$204))</x:f>
      </x:c>
      <x:c r="G162" s="34"/>
      <x:c r="H162" s="78"/>
      <x:c r="I162" s="81"/>
      <x:c r="J162" s="34"/>
      <x:c r="K162" s="34"/>
      <x:c r="L162" s="34"/>
      <x:c r="M162" s="34"/>
      <x:c r="N162" s="35"/>
    </x:row>
    <x:row r="163">
      <x:c r="A163" s="34"/>
      <x:c r="B163" s="34"/>
      <x:c r="C163" s="78"/>
      <x:c r="D163" s="34"/>
      <x:c r="E163" s="204" t="str">
        <x:f>IF(A163="","",SUMIF('02_PET_APORTES'!$H$5:$H$204,A163,'02_PET_APORTES'!$F$5:$F$204))</x:f>
      </x:c>
      <x:c r="F163" s="200" t="str">
        <x:f>IF(A163="","",SUMIF('02_PET_APORTES'!$H$5:$H$204,A163,'02_PET_APORTES'!$K$5:$K$204))</x:f>
      </x:c>
      <x:c r="G163" s="34"/>
      <x:c r="H163" s="78"/>
      <x:c r="I163" s="81"/>
      <x:c r="J163" s="34"/>
      <x:c r="K163" s="34"/>
      <x:c r="L163" s="34"/>
      <x:c r="M163" s="34"/>
      <x:c r="N163" s="35"/>
    </x:row>
    <x:row r="164">
      <x:c r="A164" s="34"/>
      <x:c r="B164" s="34"/>
      <x:c r="C164" s="78"/>
      <x:c r="D164" s="34"/>
      <x:c r="E164" s="204" t="str">
        <x:f>IF(A164="","",SUMIF('02_PET_APORTES'!$H$5:$H$204,A164,'02_PET_APORTES'!$F$5:$F$204))</x:f>
      </x:c>
      <x:c r="F164" s="200" t="str">
        <x:f>IF(A164="","",SUMIF('02_PET_APORTES'!$H$5:$H$204,A164,'02_PET_APORTES'!$K$5:$K$204))</x:f>
      </x:c>
      <x:c r="G164" s="34"/>
      <x:c r="H164" s="78"/>
      <x:c r="I164" s="81"/>
      <x:c r="J164" s="34"/>
      <x:c r="K164" s="34"/>
      <x:c r="L164" s="34"/>
      <x:c r="M164" s="34"/>
      <x:c r="N164" s="35"/>
    </x:row>
    <x:row r="165">
      <x:c r="A165" s="34"/>
      <x:c r="B165" s="34"/>
      <x:c r="C165" s="78"/>
      <x:c r="D165" s="34"/>
      <x:c r="E165" s="204" t="str">
        <x:f>IF(A165="","",SUMIF('02_PET_APORTES'!$H$5:$H$204,A165,'02_PET_APORTES'!$F$5:$F$204))</x:f>
      </x:c>
      <x:c r="F165" s="200" t="str">
        <x:f>IF(A165="","",SUMIF('02_PET_APORTES'!$H$5:$H$204,A165,'02_PET_APORTES'!$K$5:$K$204))</x:f>
      </x:c>
      <x:c r="G165" s="34"/>
      <x:c r="H165" s="78"/>
      <x:c r="I165" s="81"/>
      <x:c r="J165" s="34"/>
      <x:c r="K165" s="34"/>
      <x:c r="L165" s="34"/>
      <x:c r="M165" s="34"/>
      <x:c r="N165" s="35"/>
    </x:row>
    <x:row r="166">
      <x:c r="A166" s="34"/>
      <x:c r="B166" s="34"/>
      <x:c r="C166" s="78"/>
      <x:c r="D166" s="34"/>
      <x:c r="E166" s="204" t="str">
        <x:f>IF(A166="","",SUMIF('02_PET_APORTES'!$H$5:$H$204,A166,'02_PET_APORTES'!$F$5:$F$204))</x:f>
      </x:c>
      <x:c r="F166" s="200" t="str">
        <x:f>IF(A166="","",SUMIF('02_PET_APORTES'!$H$5:$H$204,A166,'02_PET_APORTES'!$K$5:$K$204))</x:f>
      </x:c>
      <x:c r="G166" s="34"/>
      <x:c r="H166" s="78"/>
      <x:c r="I166" s="81"/>
      <x:c r="J166" s="34"/>
      <x:c r="K166" s="34"/>
      <x:c r="L166" s="34"/>
      <x:c r="M166" s="34"/>
      <x:c r="N166" s="35"/>
    </x:row>
    <x:row r="167">
      <x:c r="A167" s="34"/>
      <x:c r="B167" s="34"/>
      <x:c r="C167" s="78"/>
      <x:c r="D167" s="34"/>
      <x:c r="E167" s="204" t="str">
        <x:f>IF(A167="","",SUMIF('02_PET_APORTES'!$H$5:$H$204,A167,'02_PET_APORTES'!$F$5:$F$204))</x:f>
      </x:c>
      <x:c r="F167" s="200" t="str">
        <x:f>IF(A167="","",SUMIF('02_PET_APORTES'!$H$5:$H$204,A167,'02_PET_APORTES'!$K$5:$K$204))</x:f>
      </x:c>
      <x:c r="G167" s="34"/>
      <x:c r="H167" s="78"/>
      <x:c r="I167" s="81"/>
      <x:c r="J167" s="34"/>
      <x:c r="K167" s="34"/>
      <x:c r="L167" s="34"/>
      <x:c r="M167" s="34"/>
      <x:c r="N167" s="35"/>
    </x:row>
    <x:row r="168">
      <x:c r="A168" s="34"/>
      <x:c r="B168" s="34"/>
      <x:c r="C168" s="78"/>
      <x:c r="D168" s="34"/>
      <x:c r="E168" s="204" t="str">
        <x:f>IF(A168="","",SUMIF('02_PET_APORTES'!$H$5:$H$204,A168,'02_PET_APORTES'!$F$5:$F$204))</x:f>
      </x:c>
      <x:c r="F168" s="200" t="str">
        <x:f>IF(A168="","",SUMIF('02_PET_APORTES'!$H$5:$H$204,A168,'02_PET_APORTES'!$K$5:$K$204))</x:f>
      </x:c>
      <x:c r="G168" s="34"/>
      <x:c r="H168" s="78"/>
      <x:c r="I168" s="81"/>
      <x:c r="J168" s="34"/>
      <x:c r="K168" s="34"/>
      <x:c r="L168" s="34"/>
      <x:c r="M168" s="34"/>
      <x:c r="N168" s="35"/>
    </x:row>
    <x:row r="169">
      <x:c r="A169" s="34"/>
      <x:c r="B169" s="34"/>
      <x:c r="C169" s="78"/>
      <x:c r="D169" s="34"/>
      <x:c r="E169" s="204" t="str">
        <x:f>IF(A169="","",SUMIF('02_PET_APORTES'!$H$5:$H$204,A169,'02_PET_APORTES'!$F$5:$F$204))</x:f>
      </x:c>
      <x:c r="F169" s="200" t="str">
        <x:f>IF(A169="","",SUMIF('02_PET_APORTES'!$H$5:$H$204,A169,'02_PET_APORTES'!$K$5:$K$204))</x:f>
      </x:c>
      <x:c r="G169" s="34"/>
      <x:c r="H169" s="78"/>
      <x:c r="I169" s="81"/>
      <x:c r="J169" s="34"/>
      <x:c r="K169" s="34"/>
      <x:c r="L169" s="34"/>
      <x:c r="M169" s="34"/>
      <x:c r="N169" s="35"/>
    </x:row>
    <x:row r="170">
      <x:c r="A170" s="34"/>
      <x:c r="B170" s="34"/>
      <x:c r="C170" s="78"/>
      <x:c r="D170" s="34"/>
      <x:c r="E170" s="204" t="str">
        <x:f>IF(A170="","",SUMIF('02_PET_APORTES'!$H$5:$H$204,A170,'02_PET_APORTES'!$F$5:$F$204))</x:f>
      </x:c>
      <x:c r="F170" s="200" t="str">
        <x:f>IF(A170="","",SUMIF('02_PET_APORTES'!$H$5:$H$204,A170,'02_PET_APORTES'!$K$5:$K$204))</x:f>
      </x:c>
      <x:c r="G170" s="34"/>
      <x:c r="H170" s="78"/>
      <x:c r="I170" s="81"/>
      <x:c r="J170" s="34"/>
      <x:c r="K170" s="34"/>
      <x:c r="L170" s="34"/>
      <x:c r="M170" s="34"/>
      <x:c r="N170" s="35"/>
    </x:row>
    <x:row r="171">
      <x:c r="A171" s="34"/>
      <x:c r="B171" s="34"/>
      <x:c r="C171" s="78"/>
      <x:c r="D171" s="34"/>
      <x:c r="E171" s="204" t="str">
        <x:f>IF(A171="","",SUMIF('02_PET_APORTES'!$H$5:$H$204,A171,'02_PET_APORTES'!$F$5:$F$204))</x:f>
      </x:c>
      <x:c r="F171" s="200" t="str">
        <x:f>IF(A171="","",SUMIF('02_PET_APORTES'!$H$5:$H$204,A171,'02_PET_APORTES'!$K$5:$K$204))</x:f>
      </x:c>
      <x:c r="G171" s="34"/>
      <x:c r="H171" s="78"/>
      <x:c r="I171" s="81"/>
      <x:c r="J171" s="34"/>
      <x:c r="K171" s="34"/>
      <x:c r="L171" s="34"/>
      <x:c r="M171" s="34"/>
      <x:c r="N171" s="35"/>
    </x:row>
    <x:row r="172">
      <x:c r="A172" s="34"/>
      <x:c r="B172" s="34"/>
      <x:c r="C172" s="78"/>
      <x:c r="D172" s="34"/>
      <x:c r="E172" s="204" t="str">
        <x:f>IF(A172="","",SUMIF('02_PET_APORTES'!$H$5:$H$204,A172,'02_PET_APORTES'!$F$5:$F$204))</x:f>
      </x:c>
      <x:c r="F172" s="200" t="str">
        <x:f>IF(A172="","",SUMIF('02_PET_APORTES'!$H$5:$H$204,A172,'02_PET_APORTES'!$K$5:$K$204))</x:f>
      </x:c>
      <x:c r="G172" s="34"/>
      <x:c r="H172" s="78"/>
      <x:c r="I172" s="81"/>
      <x:c r="J172" s="34"/>
      <x:c r="K172" s="34"/>
      <x:c r="L172" s="34"/>
      <x:c r="M172" s="34"/>
      <x:c r="N172" s="35"/>
    </x:row>
    <x:row r="173">
      <x:c r="A173" s="34"/>
      <x:c r="B173" s="34"/>
      <x:c r="C173" s="78"/>
      <x:c r="D173" s="34"/>
      <x:c r="E173" s="204" t="str">
        <x:f>IF(A173="","",SUMIF('02_PET_APORTES'!$H$5:$H$204,A173,'02_PET_APORTES'!$F$5:$F$204))</x:f>
      </x:c>
      <x:c r="F173" s="200" t="str">
        <x:f>IF(A173="","",SUMIF('02_PET_APORTES'!$H$5:$H$204,A173,'02_PET_APORTES'!$K$5:$K$204))</x:f>
      </x:c>
      <x:c r="G173" s="34"/>
      <x:c r="H173" s="78"/>
      <x:c r="I173" s="81"/>
      <x:c r="J173" s="34"/>
      <x:c r="K173" s="34"/>
      <x:c r="L173" s="34"/>
      <x:c r="M173" s="34"/>
      <x:c r="N173" s="35"/>
    </x:row>
    <x:row r="174">
      <x:c r="A174" s="34"/>
      <x:c r="B174" s="34"/>
      <x:c r="C174" s="78"/>
      <x:c r="D174" s="34"/>
      <x:c r="E174" s="204" t="str">
        <x:f>IF(A174="","",SUMIF('02_PET_APORTES'!$H$5:$H$204,A174,'02_PET_APORTES'!$F$5:$F$204))</x:f>
      </x:c>
      <x:c r="F174" s="200" t="str">
        <x:f>IF(A174="","",SUMIF('02_PET_APORTES'!$H$5:$H$204,A174,'02_PET_APORTES'!$K$5:$K$204))</x:f>
      </x:c>
      <x:c r="G174" s="34"/>
      <x:c r="H174" s="78"/>
      <x:c r="I174" s="81"/>
      <x:c r="J174" s="34"/>
      <x:c r="K174" s="34"/>
      <x:c r="L174" s="34"/>
      <x:c r="M174" s="34"/>
      <x:c r="N174" s="35"/>
    </x:row>
    <x:row r="175">
      <x:c r="A175" s="34"/>
      <x:c r="B175" s="34"/>
      <x:c r="C175" s="78"/>
      <x:c r="D175" s="34"/>
      <x:c r="E175" s="204" t="str">
        <x:f>IF(A175="","",SUMIF('02_PET_APORTES'!$H$5:$H$204,A175,'02_PET_APORTES'!$F$5:$F$204))</x:f>
      </x:c>
      <x:c r="F175" s="200" t="str">
        <x:f>IF(A175="","",SUMIF('02_PET_APORTES'!$H$5:$H$204,A175,'02_PET_APORTES'!$K$5:$K$204))</x:f>
      </x:c>
      <x:c r="G175" s="34"/>
      <x:c r="H175" s="78"/>
      <x:c r="I175" s="81"/>
      <x:c r="J175" s="34"/>
      <x:c r="K175" s="34"/>
      <x:c r="L175" s="34"/>
      <x:c r="M175" s="34"/>
      <x:c r="N175" s="35"/>
    </x:row>
    <x:row r="176">
      <x:c r="A176" s="34"/>
      <x:c r="B176" s="34"/>
      <x:c r="C176" s="78"/>
      <x:c r="D176" s="34"/>
      <x:c r="E176" s="204" t="str">
        <x:f>IF(A176="","",SUMIF('02_PET_APORTES'!$H$5:$H$204,A176,'02_PET_APORTES'!$F$5:$F$204))</x:f>
      </x:c>
      <x:c r="F176" s="200" t="str">
        <x:f>IF(A176="","",SUMIF('02_PET_APORTES'!$H$5:$H$204,A176,'02_PET_APORTES'!$K$5:$K$204))</x:f>
      </x:c>
      <x:c r="G176" s="34"/>
      <x:c r="H176" s="78"/>
      <x:c r="I176" s="81"/>
      <x:c r="J176" s="34"/>
      <x:c r="K176" s="34"/>
      <x:c r="L176" s="34"/>
      <x:c r="M176" s="34"/>
      <x:c r="N176" s="35"/>
    </x:row>
    <x:row r="177">
      <x:c r="A177" s="34"/>
      <x:c r="B177" s="34"/>
      <x:c r="C177" s="78"/>
      <x:c r="D177" s="34"/>
      <x:c r="E177" s="204" t="str">
        <x:f>IF(A177="","",SUMIF('02_PET_APORTES'!$H$5:$H$204,A177,'02_PET_APORTES'!$F$5:$F$204))</x:f>
      </x:c>
      <x:c r="F177" s="200" t="str">
        <x:f>IF(A177="","",SUMIF('02_PET_APORTES'!$H$5:$H$204,A177,'02_PET_APORTES'!$K$5:$K$204))</x:f>
      </x:c>
      <x:c r="G177" s="34"/>
      <x:c r="H177" s="78"/>
      <x:c r="I177" s="81"/>
      <x:c r="J177" s="34"/>
      <x:c r="K177" s="34"/>
      <x:c r="L177" s="34"/>
      <x:c r="M177" s="34"/>
      <x:c r="N177" s="35"/>
    </x:row>
    <x:row r="178">
      <x:c r="A178" s="34"/>
      <x:c r="B178" s="34"/>
      <x:c r="C178" s="78"/>
      <x:c r="D178" s="34"/>
      <x:c r="E178" s="204" t="str">
        <x:f>IF(A178="","",SUMIF('02_PET_APORTES'!$H$5:$H$204,A178,'02_PET_APORTES'!$F$5:$F$204))</x:f>
      </x:c>
      <x:c r="F178" s="200" t="str">
        <x:f>IF(A178="","",SUMIF('02_PET_APORTES'!$H$5:$H$204,A178,'02_PET_APORTES'!$K$5:$K$204))</x:f>
      </x:c>
      <x:c r="G178" s="34"/>
      <x:c r="H178" s="78"/>
      <x:c r="I178" s="81"/>
      <x:c r="J178" s="34"/>
      <x:c r="K178" s="34"/>
      <x:c r="L178" s="34"/>
      <x:c r="M178" s="34"/>
      <x:c r="N178" s="35"/>
    </x:row>
    <x:row r="179">
      <x:c r="A179" s="34"/>
      <x:c r="B179" s="34"/>
      <x:c r="C179" s="78"/>
      <x:c r="D179" s="34"/>
      <x:c r="E179" s="204" t="str">
        <x:f>IF(A179="","",SUMIF('02_PET_APORTES'!$H$5:$H$204,A179,'02_PET_APORTES'!$F$5:$F$204))</x:f>
      </x:c>
      <x:c r="F179" s="200" t="str">
        <x:f>IF(A179="","",SUMIF('02_PET_APORTES'!$H$5:$H$204,A179,'02_PET_APORTES'!$K$5:$K$204))</x:f>
      </x:c>
      <x:c r="G179" s="34"/>
      <x:c r="H179" s="78"/>
      <x:c r="I179" s="81"/>
      <x:c r="J179" s="34"/>
      <x:c r="K179" s="34"/>
      <x:c r="L179" s="34"/>
      <x:c r="M179" s="34"/>
      <x:c r="N179" s="35"/>
    </x:row>
    <x:row r="180">
      <x:c r="A180" s="34"/>
      <x:c r="B180" s="34"/>
      <x:c r="C180" s="78"/>
      <x:c r="D180" s="34"/>
      <x:c r="E180" s="204" t="str">
        <x:f>IF(A180="","",SUMIF('02_PET_APORTES'!$H$5:$H$204,A180,'02_PET_APORTES'!$F$5:$F$204))</x:f>
      </x:c>
      <x:c r="F180" s="200" t="str">
        <x:f>IF(A180="","",SUMIF('02_PET_APORTES'!$H$5:$H$204,A180,'02_PET_APORTES'!$K$5:$K$204))</x:f>
      </x:c>
      <x:c r="G180" s="34"/>
      <x:c r="H180" s="78"/>
      <x:c r="I180" s="81"/>
      <x:c r="J180" s="34"/>
      <x:c r="K180" s="34"/>
      <x:c r="L180" s="34"/>
      <x:c r="M180" s="34"/>
      <x:c r="N180" s="35"/>
    </x:row>
    <x:row r="181">
      <x:c r="A181" s="34"/>
      <x:c r="B181" s="34"/>
      <x:c r="C181" s="78"/>
      <x:c r="D181" s="34"/>
      <x:c r="E181" s="204" t="str">
        <x:f>IF(A181="","",SUMIF('02_PET_APORTES'!$H$5:$H$204,A181,'02_PET_APORTES'!$F$5:$F$204))</x:f>
      </x:c>
      <x:c r="F181" s="200" t="str">
        <x:f>IF(A181="","",SUMIF('02_PET_APORTES'!$H$5:$H$204,A181,'02_PET_APORTES'!$K$5:$K$204))</x:f>
      </x:c>
      <x:c r="G181" s="34"/>
      <x:c r="H181" s="78"/>
      <x:c r="I181" s="81"/>
      <x:c r="J181" s="34"/>
      <x:c r="K181" s="34"/>
      <x:c r="L181" s="34"/>
      <x:c r="M181" s="34"/>
      <x:c r="N181" s="35"/>
    </x:row>
    <x:row r="182">
      <x:c r="A182" s="34"/>
      <x:c r="B182" s="34"/>
      <x:c r="C182" s="78"/>
      <x:c r="D182" s="34"/>
      <x:c r="E182" s="204" t="str">
        <x:f>IF(A182="","",SUMIF('02_PET_APORTES'!$H$5:$H$204,A182,'02_PET_APORTES'!$F$5:$F$204))</x:f>
      </x:c>
      <x:c r="F182" s="200" t="str">
        <x:f>IF(A182="","",SUMIF('02_PET_APORTES'!$H$5:$H$204,A182,'02_PET_APORTES'!$K$5:$K$204))</x:f>
      </x:c>
      <x:c r="G182" s="34"/>
      <x:c r="H182" s="78"/>
      <x:c r="I182" s="81"/>
      <x:c r="J182" s="34"/>
      <x:c r="K182" s="34"/>
      <x:c r="L182" s="34"/>
      <x:c r="M182" s="34"/>
      <x:c r="N182" s="35"/>
    </x:row>
    <x:row r="183">
      <x:c r="A183" s="34"/>
      <x:c r="B183" s="34"/>
      <x:c r="C183" s="78"/>
      <x:c r="D183" s="34"/>
      <x:c r="E183" s="204" t="str">
        <x:f>IF(A183="","",SUMIF('02_PET_APORTES'!$H$5:$H$204,A183,'02_PET_APORTES'!$F$5:$F$204))</x:f>
      </x:c>
      <x:c r="F183" s="200" t="str">
        <x:f>IF(A183="","",SUMIF('02_PET_APORTES'!$H$5:$H$204,A183,'02_PET_APORTES'!$K$5:$K$204))</x:f>
      </x:c>
      <x:c r="G183" s="34"/>
      <x:c r="H183" s="78"/>
      <x:c r="I183" s="81"/>
      <x:c r="J183" s="34"/>
      <x:c r="K183" s="34"/>
      <x:c r="L183" s="34"/>
      <x:c r="M183" s="34"/>
      <x:c r="N183" s="35"/>
    </x:row>
    <x:row r="184">
      <x:c r="A184" s="34"/>
      <x:c r="B184" s="34"/>
      <x:c r="C184" s="78"/>
      <x:c r="D184" s="34"/>
      <x:c r="E184" s="204" t="str">
        <x:f>IF(A184="","",SUMIF('02_PET_APORTES'!$H$5:$H$204,A184,'02_PET_APORTES'!$F$5:$F$204))</x:f>
      </x:c>
      <x:c r="F184" s="200" t="str">
        <x:f>IF(A184="","",SUMIF('02_PET_APORTES'!$H$5:$H$204,A184,'02_PET_APORTES'!$K$5:$K$204))</x:f>
      </x:c>
      <x:c r="G184" s="34"/>
      <x:c r="H184" s="78"/>
      <x:c r="I184" s="81"/>
      <x:c r="J184" s="34"/>
      <x:c r="K184" s="34"/>
      <x:c r="L184" s="34"/>
      <x:c r="M184" s="34"/>
      <x:c r="N184" s="35"/>
    </x:row>
    <x:row r="185">
      <x:c r="A185" s="34"/>
      <x:c r="B185" s="34"/>
      <x:c r="C185" s="78"/>
      <x:c r="D185" s="34"/>
      <x:c r="E185" s="204" t="str">
        <x:f>IF(A185="","",SUMIF('02_PET_APORTES'!$H$5:$H$204,A185,'02_PET_APORTES'!$F$5:$F$204))</x:f>
      </x:c>
      <x:c r="F185" s="200" t="str">
        <x:f>IF(A185="","",SUMIF('02_PET_APORTES'!$H$5:$H$204,A185,'02_PET_APORTES'!$K$5:$K$204))</x:f>
      </x:c>
      <x:c r="G185" s="34"/>
      <x:c r="H185" s="78"/>
      <x:c r="I185" s="81"/>
      <x:c r="J185" s="34"/>
      <x:c r="K185" s="34"/>
      <x:c r="L185" s="34"/>
      <x:c r="M185" s="34"/>
      <x:c r="N185" s="35"/>
    </x:row>
    <x:row r="186">
      <x:c r="A186" s="34"/>
      <x:c r="B186" s="34"/>
      <x:c r="C186" s="78"/>
      <x:c r="D186" s="34"/>
      <x:c r="E186" s="204" t="str">
        <x:f>IF(A186="","",SUMIF('02_PET_APORTES'!$H$5:$H$204,A186,'02_PET_APORTES'!$F$5:$F$204))</x:f>
      </x:c>
      <x:c r="F186" s="200" t="str">
        <x:f>IF(A186="","",SUMIF('02_PET_APORTES'!$H$5:$H$204,A186,'02_PET_APORTES'!$K$5:$K$204))</x:f>
      </x:c>
      <x:c r="G186" s="34"/>
      <x:c r="H186" s="78"/>
      <x:c r="I186" s="81"/>
      <x:c r="J186" s="34"/>
      <x:c r="K186" s="34"/>
      <x:c r="L186" s="34"/>
      <x:c r="M186" s="34"/>
      <x:c r="N186" s="35"/>
    </x:row>
    <x:row r="187">
      <x:c r="A187" s="34"/>
      <x:c r="B187" s="34"/>
      <x:c r="C187" s="78"/>
      <x:c r="D187" s="34"/>
      <x:c r="E187" s="204" t="str">
        <x:f>IF(A187="","",SUMIF('02_PET_APORTES'!$H$5:$H$204,A187,'02_PET_APORTES'!$F$5:$F$204))</x:f>
      </x:c>
      <x:c r="F187" s="200" t="str">
        <x:f>IF(A187="","",SUMIF('02_PET_APORTES'!$H$5:$H$204,A187,'02_PET_APORTES'!$K$5:$K$204))</x:f>
      </x:c>
      <x:c r="G187" s="34"/>
      <x:c r="H187" s="78"/>
      <x:c r="I187" s="81"/>
      <x:c r="J187" s="34"/>
      <x:c r="K187" s="34"/>
      <x:c r="L187" s="34"/>
      <x:c r="M187" s="34"/>
      <x:c r="N187" s="35"/>
    </x:row>
    <x:row r="188">
      <x:c r="A188" s="34"/>
      <x:c r="B188" s="34"/>
      <x:c r="C188" s="78"/>
      <x:c r="D188" s="34"/>
      <x:c r="E188" s="204" t="str">
        <x:f>IF(A188="","",SUMIF('02_PET_APORTES'!$H$5:$H$204,A188,'02_PET_APORTES'!$F$5:$F$204))</x:f>
      </x:c>
      <x:c r="F188" s="200" t="str">
        <x:f>IF(A188="","",SUMIF('02_PET_APORTES'!$H$5:$H$204,A188,'02_PET_APORTES'!$K$5:$K$204))</x:f>
      </x:c>
      <x:c r="G188" s="34"/>
      <x:c r="H188" s="78"/>
      <x:c r="I188" s="81"/>
      <x:c r="J188" s="34"/>
      <x:c r="K188" s="34"/>
      <x:c r="L188" s="34"/>
      <x:c r="M188" s="34"/>
      <x:c r="N188" s="35"/>
    </x:row>
    <x:row r="189">
      <x:c r="A189" s="34"/>
      <x:c r="B189" s="34"/>
      <x:c r="C189" s="78"/>
      <x:c r="D189" s="34"/>
      <x:c r="E189" s="204" t="str">
        <x:f>IF(A189="","",SUMIF('02_PET_APORTES'!$H$5:$H$204,A189,'02_PET_APORTES'!$F$5:$F$204))</x:f>
      </x:c>
      <x:c r="F189" s="200" t="str">
        <x:f>IF(A189="","",SUMIF('02_PET_APORTES'!$H$5:$H$204,A189,'02_PET_APORTES'!$K$5:$K$204))</x:f>
      </x:c>
      <x:c r="G189" s="34"/>
      <x:c r="H189" s="78"/>
      <x:c r="I189" s="81"/>
      <x:c r="J189" s="34"/>
      <x:c r="K189" s="34"/>
      <x:c r="L189" s="34"/>
      <x:c r="M189" s="34"/>
      <x:c r="N189" s="35"/>
    </x:row>
    <x:row r="190">
      <x:c r="A190" s="34"/>
      <x:c r="B190" s="34"/>
      <x:c r="C190" s="78"/>
      <x:c r="D190" s="34"/>
      <x:c r="E190" s="204" t="str">
        <x:f>IF(A190="","",SUMIF('02_PET_APORTES'!$H$5:$H$204,A190,'02_PET_APORTES'!$F$5:$F$204))</x:f>
      </x:c>
      <x:c r="F190" s="200" t="str">
        <x:f>IF(A190="","",SUMIF('02_PET_APORTES'!$H$5:$H$204,A190,'02_PET_APORTES'!$K$5:$K$204))</x:f>
      </x:c>
      <x:c r="G190" s="34"/>
      <x:c r="H190" s="78"/>
      <x:c r="I190" s="81"/>
      <x:c r="J190" s="34"/>
      <x:c r="K190" s="34"/>
      <x:c r="L190" s="34"/>
      <x:c r="M190" s="34"/>
      <x:c r="N190" s="35"/>
    </x:row>
    <x:row r="191">
      <x:c r="A191" s="34"/>
      <x:c r="B191" s="34"/>
      <x:c r="C191" s="78"/>
      <x:c r="D191" s="34"/>
      <x:c r="E191" s="204" t="str">
        <x:f>IF(A191="","",SUMIF('02_PET_APORTES'!$H$5:$H$204,A191,'02_PET_APORTES'!$F$5:$F$204))</x:f>
      </x:c>
      <x:c r="F191" s="200" t="str">
        <x:f>IF(A191="","",SUMIF('02_PET_APORTES'!$H$5:$H$204,A191,'02_PET_APORTES'!$K$5:$K$204))</x:f>
      </x:c>
      <x:c r="G191" s="34"/>
      <x:c r="H191" s="78"/>
      <x:c r="I191" s="81"/>
      <x:c r="J191" s="34"/>
      <x:c r="K191" s="34"/>
      <x:c r="L191" s="34"/>
      <x:c r="M191" s="34"/>
      <x:c r="N191" s="35"/>
    </x:row>
    <x:row r="192">
      <x:c r="A192" s="34"/>
      <x:c r="B192" s="34"/>
      <x:c r="C192" s="78"/>
      <x:c r="D192" s="34"/>
      <x:c r="E192" s="204" t="str">
        <x:f>IF(A192="","",SUMIF('02_PET_APORTES'!$H$5:$H$204,A192,'02_PET_APORTES'!$F$5:$F$204))</x:f>
      </x:c>
      <x:c r="F192" s="200" t="str">
        <x:f>IF(A192="","",SUMIF('02_PET_APORTES'!$H$5:$H$204,A192,'02_PET_APORTES'!$K$5:$K$204))</x:f>
      </x:c>
      <x:c r="G192" s="34"/>
      <x:c r="H192" s="78"/>
      <x:c r="I192" s="81"/>
      <x:c r="J192" s="34"/>
      <x:c r="K192" s="34"/>
      <x:c r="L192" s="34"/>
      <x:c r="M192" s="34"/>
      <x:c r="N192" s="35"/>
    </x:row>
    <x:row r="193">
      <x:c r="A193" s="34"/>
      <x:c r="B193" s="34"/>
      <x:c r="C193" s="78"/>
      <x:c r="D193" s="34"/>
      <x:c r="E193" s="204" t="str">
        <x:f>IF(A193="","",SUMIF('02_PET_APORTES'!$H$5:$H$204,A193,'02_PET_APORTES'!$F$5:$F$204))</x:f>
      </x:c>
      <x:c r="F193" s="200" t="str">
        <x:f>IF(A193="","",SUMIF('02_PET_APORTES'!$H$5:$H$204,A193,'02_PET_APORTES'!$K$5:$K$204))</x:f>
      </x:c>
      <x:c r="G193" s="34"/>
      <x:c r="H193" s="78"/>
      <x:c r="I193" s="81"/>
      <x:c r="J193" s="34"/>
      <x:c r="K193" s="34"/>
      <x:c r="L193" s="34"/>
      <x:c r="M193" s="34"/>
      <x:c r="N193" s="35"/>
    </x:row>
    <x:row r="194">
      <x:c r="A194" s="34"/>
      <x:c r="B194" s="34"/>
      <x:c r="C194" s="78"/>
      <x:c r="D194" s="34"/>
      <x:c r="E194" s="204" t="str">
        <x:f>IF(A194="","",SUMIF('02_PET_APORTES'!$H$5:$H$204,A194,'02_PET_APORTES'!$F$5:$F$204))</x:f>
      </x:c>
      <x:c r="F194" s="200" t="str">
        <x:f>IF(A194="","",SUMIF('02_PET_APORTES'!$H$5:$H$204,A194,'02_PET_APORTES'!$K$5:$K$204))</x:f>
      </x:c>
      <x:c r="G194" s="34"/>
      <x:c r="H194" s="78"/>
      <x:c r="I194" s="81"/>
      <x:c r="J194" s="34"/>
      <x:c r="K194" s="34"/>
      <x:c r="L194" s="34"/>
      <x:c r="M194" s="34"/>
      <x:c r="N194" s="35"/>
    </x:row>
    <x:row r="195">
      <x:c r="A195" s="34"/>
      <x:c r="B195" s="34"/>
      <x:c r="C195" s="78"/>
      <x:c r="D195" s="34"/>
      <x:c r="E195" s="204" t="str">
        <x:f>IF(A195="","",SUMIF('02_PET_APORTES'!$H$5:$H$204,A195,'02_PET_APORTES'!$F$5:$F$204))</x:f>
      </x:c>
      <x:c r="F195" s="200" t="str">
        <x:f>IF(A195="","",SUMIF('02_PET_APORTES'!$H$5:$H$204,A195,'02_PET_APORTES'!$K$5:$K$204))</x:f>
      </x:c>
      <x:c r="G195" s="34"/>
      <x:c r="H195" s="78"/>
      <x:c r="I195" s="81"/>
      <x:c r="J195" s="34"/>
      <x:c r="K195" s="34"/>
      <x:c r="L195" s="34"/>
      <x:c r="M195" s="34"/>
      <x:c r="N195" s="35"/>
    </x:row>
    <x:row r="196">
      <x:c r="A196" s="34"/>
      <x:c r="B196" s="34"/>
      <x:c r="C196" s="78"/>
      <x:c r="D196" s="34"/>
      <x:c r="E196" s="204" t="str">
        <x:f>IF(A196="","",SUMIF('02_PET_APORTES'!$H$5:$H$204,A196,'02_PET_APORTES'!$F$5:$F$204))</x:f>
      </x:c>
      <x:c r="F196" s="200" t="str">
        <x:f>IF(A196="","",SUMIF('02_PET_APORTES'!$H$5:$H$204,A196,'02_PET_APORTES'!$K$5:$K$204))</x:f>
      </x:c>
      <x:c r="G196" s="34"/>
      <x:c r="H196" s="78"/>
      <x:c r="I196" s="81"/>
      <x:c r="J196" s="34"/>
      <x:c r="K196" s="34"/>
      <x:c r="L196" s="34"/>
      <x:c r="M196" s="34"/>
      <x:c r="N196" s="35"/>
    </x:row>
    <x:row r="197">
      <x:c r="A197" s="34"/>
      <x:c r="B197" s="34"/>
      <x:c r="C197" s="78"/>
      <x:c r="D197" s="34"/>
      <x:c r="E197" s="204" t="str">
        <x:f>IF(A197="","",SUMIF('02_PET_APORTES'!$H$5:$H$204,A197,'02_PET_APORTES'!$F$5:$F$204))</x:f>
      </x:c>
      <x:c r="F197" s="200" t="str">
        <x:f>IF(A197="","",SUMIF('02_PET_APORTES'!$H$5:$H$204,A197,'02_PET_APORTES'!$K$5:$K$204))</x:f>
      </x:c>
      <x:c r="G197" s="34"/>
      <x:c r="H197" s="78"/>
      <x:c r="I197" s="81"/>
      <x:c r="J197" s="34"/>
      <x:c r="K197" s="34"/>
      <x:c r="L197" s="34"/>
      <x:c r="M197" s="34"/>
      <x:c r="N197" s="35"/>
    </x:row>
    <x:row r="198">
      <x:c r="A198" s="34"/>
      <x:c r="B198" s="34"/>
      <x:c r="C198" s="78"/>
      <x:c r="D198" s="34"/>
      <x:c r="E198" s="204" t="str">
        <x:f>IF(A198="","",SUMIF('02_PET_APORTES'!$H$5:$H$204,A198,'02_PET_APORTES'!$F$5:$F$204))</x:f>
      </x:c>
      <x:c r="F198" s="200" t="str">
        <x:f>IF(A198="","",SUMIF('02_PET_APORTES'!$H$5:$H$204,A198,'02_PET_APORTES'!$K$5:$K$204))</x:f>
      </x:c>
      <x:c r="G198" s="34"/>
      <x:c r="H198" s="78"/>
      <x:c r="I198" s="81"/>
      <x:c r="J198" s="34"/>
      <x:c r="K198" s="34"/>
      <x:c r="L198" s="34"/>
      <x:c r="M198" s="34"/>
      <x:c r="N198" s="35"/>
    </x:row>
    <x:row r="199">
      <x:c r="A199" s="34"/>
      <x:c r="B199" s="34"/>
      <x:c r="C199" s="78"/>
      <x:c r="D199" s="34"/>
      <x:c r="E199" s="204" t="str">
        <x:f>IF(A199="","",SUMIF('02_PET_APORTES'!$H$5:$H$204,A199,'02_PET_APORTES'!$F$5:$F$204))</x:f>
      </x:c>
      <x:c r="F199" s="200" t="str">
        <x:f>IF(A199="","",SUMIF('02_PET_APORTES'!$H$5:$H$204,A199,'02_PET_APORTES'!$K$5:$K$204))</x:f>
      </x:c>
      <x:c r="G199" s="34"/>
      <x:c r="H199" s="78"/>
      <x:c r="I199" s="81"/>
      <x:c r="J199" s="34"/>
      <x:c r="K199" s="34"/>
      <x:c r="L199" s="34"/>
      <x:c r="M199" s="34"/>
      <x:c r="N199" s="35"/>
    </x:row>
    <x:row r="200">
      <x:c r="A200" s="34"/>
      <x:c r="B200" s="34"/>
      <x:c r="C200" s="78"/>
      <x:c r="D200" s="34"/>
      <x:c r="E200" s="204" t="str">
        <x:f>IF(A200="","",SUMIF('02_PET_APORTES'!$H$5:$H$204,A200,'02_PET_APORTES'!$F$5:$F$204))</x:f>
      </x:c>
      <x:c r="F200" s="200" t="str">
        <x:f>IF(A200="","",SUMIF('02_PET_APORTES'!$H$5:$H$204,A200,'02_PET_APORTES'!$K$5:$K$204))</x:f>
      </x:c>
      <x:c r="G200" s="34"/>
      <x:c r="H200" s="78"/>
      <x:c r="I200" s="81"/>
      <x:c r="J200" s="34"/>
      <x:c r="K200" s="34"/>
      <x:c r="L200" s="34"/>
      <x:c r="M200" s="34"/>
      <x:c r="N200" s="35"/>
    </x:row>
    <x:row r="201">
      <x:c r="A201" s="34"/>
      <x:c r="B201" s="34"/>
      <x:c r="C201" s="78"/>
      <x:c r="D201" s="34"/>
      <x:c r="E201" s="204" t="str">
        <x:f>IF(A201="","",SUMIF('02_PET_APORTES'!$H$5:$H$204,A201,'02_PET_APORTES'!$F$5:$F$204))</x:f>
      </x:c>
      <x:c r="F201" s="200" t="str">
        <x:f>IF(A201="","",SUMIF('02_PET_APORTES'!$H$5:$H$204,A201,'02_PET_APORTES'!$K$5:$K$204))</x:f>
      </x:c>
      <x:c r="G201" s="34"/>
      <x:c r="H201" s="78"/>
      <x:c r="I201" s="81"/>
      <x:c r="J201" s="34"/>
      <x:c r="K201" s="34"/>
      <x:c r="L201" s="34"/>
      <x:c r="M201" s="34"/>
      <x:c r="N201" s="35"/>
    </x:row>
    <x:row r="202">
      <x:c r="A202" s="34"/>
      <x:c r="B202" s="34"/>
      <x:c r="C202" s="78"/>
      <x:c r="D202" s="34"/>
      <x:c r="E202" s="204" t="str">
        <x:f>IF(A202="","",SUMIF('02_PET_APORTES'!$H$5:$H$204,A202,'02_PET_APORTES'!$F$5:$F$204))</x:f>
      </x:c>
      <x:c r="F202" s="200" t="str">
        <x:f>IF(A202="","",SUMIF('02_PET_APORTES'!$H$5:$H$204,A202,'02_PET_APORTES'!$K$5:$K$204))</x:f>
      </x:c>
      <x:c r="G202" s="34"/>
      <x:c r="H202" s="78"/>
      <x:c r="I202" s="81"/>
      <x:c r="J202" s="34"/>
      <x:c r="K202" s="34"/>
      <x:c r="L202" s="34"/>
      <x:c r="M202" s="34"/>
      <x:c r="N202" s="35"/>
    </x:row>
    <x:row r="203">
      <x:c r="A203" s="34"/>
      <x:c r="B203" s="34"/>
      <x:c r="C203" s="78"/>
      <x:c r="D203" s="34"/>
      <x:c r="E203" s="204" t="str">
        <x:f>IF(A203="","",SUMIF('02_PET_APORTES'!$H$5:$H$204,A203,'02_PET_APORTES'!$F$5:$F$204))</x:f>
      </x:c>
      <x:c r="F203" s="200" t="str">
        <x:f>IF(A203="","",SUMIF('02_PET_APORTES'!$H$5:$H$204,A203,'02_PET_APORTES'!$K$5:$K$204))</x:f>
      </x:c>
      <x:c r="G203" s="34"/>
      <x:c r="H203" s="78"/>
      <x:c r="I203" s="81"/>
      <x:c r="J203" s="34"/>
      <x:c r="K203" s="34"/>
      <x:c r="L203" s="34"/>
      <x:c r="M203" s="34"/>
      <x:c r="N203" s="35"/>
    </x:row>
    <x:row r="204">
      <x:c r="A204" s="36"/>
      <x:c r="B204" s="36"/>
      <x:c r="C204" s="82"/>
      <x:c r="D204" s="36"/>
      <x:c r="E204" s="205" t="str">
        <x:f>IF(A204="","",SUMIF('02_PET_APORTES'!$H$5:$H$204,A204,'02_PET_APORTES'!$F$5:$F$204))</x:f>
      </x:c>
      <x:c r="F204" s="201" t="str">
        <x:f>IF(A204="","",SUMIF('02_PET_APORTES'!$H$5:$H$204,A204,'02_PET_APORTES'!$K$5:$K$204))</x:f>
      </x:c>
      <x:c r="G204" s="36"/>
      <x:c r="H204" s="82"/>
      <x:c r="I204" s="85"/>
      <x:c r="J204" s="36"/>
      <x:c r="K204" s="36"/>
      <x:c r="L204" s="36"/>
      <x:c r="M204" s="36"/>
      <x:c r="N204" s="37"/>
    </x:row>
  </x:sheetData>
  <x:mergeCells>
    <x:mergeCell ref="A1:N1"/>
    <x:mergeCell ref="A2:N2"/>
  </x:mergeCells>
  <x:dataValidations count="1">
    <x:dataValidation type="list" sqref="J5:J204">
      <x:formula1>"EN_PREPARACION,ENVIADO,RECIBIDO_PESADO,LIQUIDADO,CONCILIADO,ANULADO"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f44b30572b41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5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38" hidden="0" customWidth="1"/>
    <x:col min="13" max="13" width="22" hidden="0" customWidth="1"/>
    <x:col min="14" max="14" width="22" hidden="0" customWidth="1"/>
  </x:cols>
  <x:sheetData>
    <x:row r="1" ht="30" customHeight="1">
      <x:c r="A1" s="4" t="str">
        <x:v>PET · Liquidación y conciliación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Solo esta hoja convierte kg reales documentados en ingreso PET real.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28" customHeight="1">
      <x:c r="A4" s="20" t="str">
        <x:v>liquidacion_id</x:v>
      </x:c>
      <x:c r="B4" s="20" t="str">
        <x:v>lote_id</x:v>
      </x:c>
      <x:c r="C4" s="20" t="str">
        <x:v>fecha_liquidacion</x:v>
      </x:c>
      <x:c r="D4" s="20" t="str">
        <x:v>kg_reales</x:v>
      </x:c>
      <x:c r="E4" s="20" t="str">
        <x:v>cop_pagados</x:v>
      </x:c>
      <x:c r="F4" s="20" t="str">
        <x:v>precio_real_cop_kg</x:v>
      </x:c>
      <x:c r="G4" s="20" t="str">
        <x:v>trm_cop_usd</x:v>
      </x:c>
      <x:c r="H4" s="20" t="str">
        <x:v>usd_referencia</x:v>
      </x:c>
      <x:c r="I4" s="20" t="str">
        <x:v>referencia_pago</x:v>
      </x:c>
      <x:c r="J4" s="20" t="str">
        <x:v>fecha_conciliacion</x:v>
      </x:c>
      <x:c r="K4" s="20" t="str">
        <x:v>estado</x:v>
      </x:c>
      <x:c r="L4" s="20" t="str">
        <x:v>soporte_url</x:v>
      </x:c>
      <x:c r="M4" s="20" t="str">
        <x:v>usuario_registro</x:v>
      </x:c>
      <x:c r="N4" s="20" t="str">
        <x:v>correction_id</x:v>
      </x:c>
    </x:row>
    <x:row r="5">
      <x:c r="A5" s="34"/>
      <x:c r="B5" s="34"/>
      <x:c r="C5" s="78"/>
      <x:c r="D5" s="200" t="str">
        <x:f>IF(B5="","",IFERROR(INDEX('03_PET_LOTES'!$I$5:$I$204,MATCH(B5,'03_PET_LOTES'!$A$5:$A$204,0)),""))</x:f>
      </x:c>
      <x:c r="E5" s="134"/>
      <x:c r="F5" s="208" t="str">
        <x:f>IF(OR(D5="",E5="",D5=0),"",E5/D5)</x:f>
      </x:c>
      <x:c r="G5" s="136"/>
      <x:c r="H5" s="212" t="str">
        <x:f>IF(OR(E5="",G5="",G5=0),"",E5/G5)</x:f>
      </x:c>
      <x:c r="I5" s="34"/>
      <x:c r="J5" s="78"/>
      <x:c r="K5" s="34"/>
      <x:c r="L5" s="34"/>
      <x:c r="M5" s="34"/>
      <x:c r="N5" s="35"/>
    </x:row>
    <x:row r="6">
      <x:c r="A6" s="34"/>
      <x:c r="B6" s="34"/>
      <x:c r="C6" s="78"/>
      <x:c r="D6" s="200" t="str">
        <x:f>IF(B6="","",IFERROR(INDEX('03_PET_LOTES'!$I$5:$I$204,MATCH(B6,'03_PET_LOTES'!$A$5:$A$204,0)),""))</x:f>
      </x:c>
      <x:c r="E6" s="134"/>
      <x:c r="F6" s="208" t="str">
        <x:f>IF(OR(D6="",E6="",D6=0),"",E6/D6)</x:f>
      </x:c>
      <x:c r="G6" s="136"/>
      <x:c r="H6" s="212" t="str">
        <x:f>IF(OR(E6="",G6="",G6=0),"",E6/G6)</x:f>
      </x:c>
      <x:c r="I6" s="34"/>
      <x:c r="J6" s="78"/>
      <x:c r="K6" s="34"/>
      <x:c r="L6" s="34"/>
      <x:c r="M6" s="34"/>
      <x:c r="N6" s="35"/>
    </x:row>
    <x:row r="7">
      <x:c r="A7" s="34"/>
      <x:c r="B7" s="34"/>
      <x:c r="C7" s="78"/>
      <x:c r="D7" s="200" t="str">
        <x:f>IF(B7="","",IFERROR(INDEX('03_PET_LOTES'!$I$5:$I$204,MATCH(B7,'03_PET_LOTES'!$A$5:$A$204,0)),""))</x:f>
      </x:c>
      <x:c r="E7" s="134"/>
      <x:c r="F7" s="208" t="str">
        <x:f>IF(OR(D7="",E7="",D7=0),"",E7/D7)</x:f>
      </x:c>
      <x:c r="G7" s="136"/>
      <x:c r="H7" s="212" t="str">
        <x:f>IF(OR(E7="",G7="",G7=0),"",E7/G7)</x:f>
      </x:c>
      <x:c r="I7" s="34"/>
      <x:c r="J7" s="78"/>
      <x:c r="K7" s="34"/>
      <x:c r="L7" s="34"/>
      <x:c r="M7" s="34"/>
      <x:c r="N7" s="35"/>
    </x:row>
    <x:row r="8">
      <x:c r="A8" s="34"/>
      <x:c r="B8" s="34"/>
      <x:c r="C8" s="78"/>
      <x:c r="D8" s="200" t="str">
        <x:f>IF(B8="","",IFERROR(INDEX('03_PET_LOTES'!$I$5:$I$204,MATCH(B8,'03_PET_LOTES'!$A$5:$A$204,0)),""))</x:f>
      </x:c>
      <x:c r="E8" s="134"/>
      <x:c r="F8" s="208" t="str">
        <x:f>IF(OR(D8="",E8="",D8=0),"",E8/D8)</x:f>
      </x:c>
      <x:c r="G8" s="136"/>
      <x:c r="H8" s="212" t="str">
        <x:f>IF(OR(E8="",G8="",G8=0),"",E8/G8)</x:f>
      </x:c>
      <x:c r="I8" s="34"/>
      <x:c r="J8" s="78"/>
      <x:c r="K8" s="34"/>
      <x:c r="L8" s="34"/>
      <x:c r="M8" s="34"/>
      <x:c r="N8" s="35"/>
    </x:row>
    <x:row r="9">
      <x:c r="A9" s="34"/>
      <x:c r="B9" s="34"/>
      <x:c r="C9" s="78"/>
      <x:c r="D9" s="200" t="str">
        <x:f>IF(B9="","",IFERROR(INDEX('03_PET_LOTES'!$I$5:$I$204,MATCH(B9,'03_PET_LOTES'!$A$5:$A$204,0)),""))</x:f>
      </x:c>
      <x:c r="E9" s="134"/>
      <x:c r="F9" s="208" t="str">
        <x:f>IF(OR(D9="",E9="",D9=0),"",E9/D9)</x:f>
      </x:c>
      <x:c r="G9" s="136"/>
      <x:c r="H9" s="212" t="str">
        <x:f>IF(OR(E9="",G9="",G9=0),"",E9/G9)</x:f>
      </x:c>
      <x:c r="I9" s="34"/>
      <x:c r="J9" s="78"/>
      <x:c r="K9" s="34"/>
      <x:c r="L9" s="34"/>
      <x:c r="M9" s="34"/>
      <x:c r="N9" s="35"/>
    </x:row>
    <x:row r="10">
      <x:c r="A10" s="34"/>
      <x:c r="B10" s="34"/>
      <x:c r="C10" s="78"/>
      <x:c r="D10" s="200" t="str">
        <x:f>IF(B10="","",IFERROR(INDEX('03_PET_LOTES'!$I$5:$I$204,MATCH(B10,'03_PET_LOTES'!$A$5:$A$204,0)),""))</x:f>
      </x:c>
      <x:c r="E10" s="134"/>
      <x:c r="F10" s="208" t="str">
        <x:f>IF(OR(D10="",E10="",D10=0),"",E10/D10)</x:f>
      </x:c>
      <x:c r="G10" s="136"/>
      <x:c r="H10" s="212" t="str">
        <x:f>IF(OR(E10="",G10="",G10=0),"",E10/G10)</x:f>
      </x:c>
      <x:c r="I10" s="34"/>
      <x:c r="J10" s="78"/>
      <x:c r="K10" s="34"/>
      <x:c r="L10" s="34"/>
      <x:c r="M10" s="34"/>
      <x:c r="N10" s="35"/>
    </x:row>
    <x:row r="11">
      <x:c r="A11" s="34"/>
      <x:c r="B11" s="34"/>
      <x:c r="C11" s="78"/>
      <x:c r="D11" s="200" t="str">
        <x:f>IF(B11="","",IFERROR(INDEX('03_PET_LOTES'!$I$5:$I$204,MATCH(B11,'03_PET_LOTES'!$A$5:$A$204,0)),""))</x:f>
      </x:c>
      <x:c r="E11" s="134"/>
      <x:c r="F11" s="208" t="str">
        <x:f>IF(OR(D11="",E11="",D11=0),"",E11/D11)</x:f>
      </x:c>
      <x:c r="G11" s="136"/>
      <x:c r="H11" s="212" t="str">
        <x:f>IF(OR(E11="",G11="",G11=0),"",E11/G11)</x:f>
      </x:c>
      <x:c r="I11" s="34"/>
      <x:c r="J11" s="78"/>
      <x:c r="K11" s="34"/>
      <x:c r="L11" s="34"/>
      <x:c r="M11" s="34"/>
      <x:c r="N11" s="35"/>
    </x:row>
    <x:row r="12">
      <x:c r="A12" s="34"/>
      <x:c r="B12" s="34"/>
      <x:c r="C12" s="78"/>
      <x:c r="D12" s="200" t="str">
        <x:f>IF(B12="","",IFERROR(INDEX('03_PET_LOTES'!$I$5:$I$204,MATCH(B12,'03_PET_LOTES'!$A$5:$A$204,0)),""))</x:f>
      </x:c>
      <x:c r="E12" s="134"/>
      <x:c r="F12" s="208" t="str">
        <x:f>IF(OR(D12="",E12="",D12=0),"",E12/D12)</x:f>
      </x:c>
      <x:c r="G12" s="136"/>
      <x:c r="H12" s="212" t="str">
        <x:f>IF(OR(E12="",G12="",G12=0),"",E12/G12)</x:f>
      </x:c>
      <x:c r="I12" s="34"/>
      <x:c r="J12" s="78"/>
      <x:c r="K12" s="34"/>
      <x:c r="L12" s="34"/>
      <x:c r="M12" s="34"/>
      <x:c r="N12" s="35"/>
    </x:row>
    <x:row r="13">
      <x:c r="A13" s="34"/>
      <x:c r="B13" s="34"/>
      <x:c r="C13" s="78"/>
      <x:c r="D13" s="200" t="str">
        <x:f>IF(B13="","",IFERROR(INDEX('03_PET_LOTES'!$I$5:$I$204,MATCH(B13,'03_PET_LOTES'!$A$5:$A$204,0)),""))</x:f>
      </x:c>
      <x:c r="E13" s="134"/>
      <x:c r="F13" s="208" t="str">
        <x:f>IF(OR(D13="",E13="",D13=0),"",E13/D13)</x:f>
      </x:c>
      <x:c r="G13" s="136"/>
      <x:c r="H13" s="212" t="str">
        <x:f>IF(OR(E13="",G13="",G13=0),"",E13/G13)</x:f>
      </x:c>
      <x:c r="I13" s="34"/>
      <x:c r="J13" s="78"/>
      <x:c r="K13" s="34"/>
      <x:c r="L13" s="34"/>
      <x:c r="M13" s="34"/>
      <x:c r="N13" s="35"/>
    </x:row>
    <x:row r="14">
      <x:c r="A14" s="34"/>
      <x:c r="B14" s="34"/>
      <x:c r="C14" s="78"/>
      <x:c r="D14" s="200" t="str">
        <x:f>IF(B14="","",IFERROR(INDEX('03_PET_LOTES'!$I$5:$I$204,MATCH(B14,'03_PET_LOTES'!$A$5:$A$204,0)),""))</x:f>
      </x:c>
      <x:c r="E14" s="134"/>
      <x:c r="F14" s="208" t="str">
        <x:f>IF(OR(D14="",E14="",D14=0),"",E14/D14)</x:f>
      </x:c>
      <x:c r="G14" s="136"/>
      <x:c r="H14" s="212" t="str">
        <x:f>IF(OR(E14="",G14="",G14=0),"",E14/G14)</x:f>
      </x:c>
      <x:c r="I14" s="34"/>
      <x:c r="J14" s="78"/>
      <x:c r="K14" s="34"/>
      <x:c r="L14" s="34"/>
      <x:c r="M14" s="34"/>
      <x:c r="N14" s="35"/>
    </x:row>
    <x:row r="15">
      <x:c r="A15" s="34"/>
      <x:c r="B15" s="34"/>
      <x:c r="C15" s="78"/>
      <x:c r="D15" s="200" t="str">
        <x:f>IF(B15="","",IFERROR(INDEX('03_PET_LOTES'!$I$5:$I$204,MATCH(B15,'03_PET_LOTES'!$A$5:$A$204,0)),""))</x:f>
      </x:c>
      <x:c r="E15" s="134"/>
      <x:c r="F15" s="208" t="str">
        <x:f>IF(OR(D15="",E15="",D15=0),"",E15/D15)</x:f>
      </x:c>
      <x:c r="G15" s="136"/>
      <x:c r="H15" s="212" t="str">
        <x:f>IF(OR(E15="",G15="",G15=0),"",E15/G15)</x:f>
      </x:c>
      <x:c r="I15" s="34"/>
      <x:c r="J15" s="78"/>
      <x:c r="K15" s="34"/>
      <x:c r="L15" s="34"/>
      <x:c r="M15" s="34"/>
      <x:c r="N15" s="35"/>
    </x:row>
    <x:row r="16">
      <x:c r="A16" s="34"/>
      <x:c r="B16" s="34"/>
      <x:c r="C16" s="78"/>
      <x:c r="D16" s="200" t="str">
        <x:f>IF(B16="","",IFERROR(INDEX('03_PET_LOTES'!$I$5:$I$204,MATCH(B16,'03_PET_LOTES'!$A$5:$A$204,0)),""))</x:f>
      </x:c>
      <x:c r="E16" s="134"/>
      <x:c r="F16" s="208" t="str">
        <x:f>IF(OR(D16="",E16="",D16=0),"",E16/D16)</x:f>
      </x:c>
      <x:c r="G16" s="136"/>
      <x:c r="H16" s="212" t="str">
        <x:f>IF(OR(E16="",G16="",G16=0),"",E16/G16)</x:f>
      </x:c>
      <x:c r="I16" s="34"/>
      <x:c r="J16" s="78"/>
      <x:c r="K16" s="34"/>
      <x:c r="L16" s="34"/>
      <x:c r="M16" s="34"/>
      <x:c r="N16" s="35"/>
    </x:row>
    <x:row r="17">
      <x:c r="A17" s="34"/>
      <x:c r="B17" s="34"/>
      <x:c r="C17" s="78"/>
      <x:c r="D17" s="200" t="str">
        <x:f>IF(B17="","",IFERROR(INDEX('03_PET_LOTES'!$I$5:$I$204,MATCH(B17,'03_PET_LOTES'!$A$5:$A$204,0)),""))</x:f>
      </x:c>
      <x:c r="E17" s="134"/>
      <x:c r="F17" s="208" t="str">
        <x:f>IF(OR(D17="",E17="",D17=0),"",E17/D17)</x:f>
      </x:c>
      <x:c r="G17" s="136"/>
      <x:c r="H17" s="212" t="str">
        <x:f>IF(OR(E17="",G17="",G17=0),"",E17/G17)</x:f>
      </x:c>
      <x:c r="I17" s="34"/>
      <x:c r="J17" s="78"/>
      <x:c r="K17" s="34"/>
      <x:c r="L17" s="34"/>
      <x:c r="M17" s="34"/>
      <x:c r="N17" s="35"/>
    </x:row>
    <x:row r="18">
      <x:c r="A18" s="34"/>
      <x:c r="B18" s="34"/>
      <x:c r="C18" s="78"/>
      <x:c r="D18" s="200" t="str">
        <x:f>IF(B18="","",IFERROR(INDEX('03_PET_LOTES'!$I$5:$I$204,MATCH(B18,'03_PET_LOTES'!$A$5:$A$204,0)),""))</x:f>
      </x:c>
      <x:c r="E18" s="134"/>
      <x:c r="F18" s="208" t="str">
        <x:f>IF(OR(D18="",E18="",D18=0),"",E18/D18)</x:f>
      </x:c>
      <x:c r="G18" s="136"/>
      <x:c r="H18" s="212" t="str">
        <x:f>IF(OR(E18="",G18="",G18=0),"",E18/G18)</x:f>
      </x:c>
      <x:c r="I18" s="34"/>
      <x:c r="J18" s="78"/>
      <x:c r="K18" s="34"/>
      <x:c r="L18" s="34"/>
      <x:c r="M18" s="34"/>
      <x:c r="N18" s="35"/>
    </x:row>
    <x:row r="19">
      <x:c r="A19" s="34"/>
      <x:c r="B19" s="34"/>
      <x:c r="C19" s="78"/>
      <x:c r="D19" s="200" t="str">
        <x:f>IF(B19="","",IFERROR(INDEX('03_PET_LOTES'!$I$5:$I$204,MATCH(B19,'03_PET_LOTES'!$A$5:$A$204,0)),""))</x:f>
      </x:c>
      <x:c r="E19" s="134"/>
      <x:c r="F19" s="208" t="str">
        <x:f>IF(OR(D19="",E19="",D19=0),"",E19/D19)</x:f>
      </x:c>
      <x:c r="G19" s="136"/>
      <x:c r="H19" s="212" t="str">
        <x:f>IF(OR(E19="",G19="",G19=0),"",E19/G19)</x:f>
      </x:c>
      <x:c r="I19" s="34"/>
      <x:c r="J19" s="78"/>
      <x:c r="K19" s="34"/>
      <x:c r="L19" s="34"/>
      <x:c r="M19" s="34"/>
      <x:c r="N19" s="35"/>
    </x:row>
    <x:row r="20">
      <x:c r="A20" s="34"/>
      <x:c r="B20" s="34"/>
      <x:c r="C20" s="78"/>
      <x:c r="D20" s="200" t="str">
        <x:f>IF(B20="","",IFERROR(INDEX('03_PET_LOTES'!$I$5:$I$204,MATCH(B20,'03_PET_LOTES'!$A$5:$A$204,0)),""))</x:f>
      </x:c>
      <x:c r="E20" s="134"/>
      <x:c r="F20" s="208" t="str">
        <x:f>IF(OR(D20="",E20="",D20=0),"",E20/D20)</x:f>
      </x:c>
      <x:c r="G20" s="136"/>
      <x:c r="H20" s="212" t="str">
        <x:f>IF(OR(E20="",G20="",G20=0),"",E20/G20)</x:f>
      </x:c>
      <x:c r="I20" s="34"/>
      <x:c r="J20" s="78"/>
      <x:c r="K20" s="34"/>
      <x:c r="L20" s="34"/>
      <x:c r="M20" s="34"/>
      <x:c r="N20" s="35"/>
    </x:row>
    <x:row r="21">
      <x:c r="A21" s="34"/>
      <x:c r="B21" s="34"/>
      <x:c r="C21" s="78"/>
      <x:c r="D21" s="200" t="str">
        <x:f>IF(B21="","",IFERROR(INDEX('03_PET_LOTES'!$I$5:$I$204,MATCH(B21,'03_PET_LOTES'!$A$5:$A$204,0)),""))</x:f>
      </x:c>
      <x:c r="E21" s="134"/>
      <x:c r="F21" s="208" t="str">
        <x:f>IF(OR(D21="",E21="",D21=0),"",E21/D21)</x:f>
      </x:c>
      <x:c r="G21" s="136"/>
      <x:c r="H21" s="212" t="str">
        <x:f>IF(OR(E21="",G21="",G21=0),"",E21/G21)</x:f>
      </x:c>
      <x:c r="I21" s="34"/>
      <x:c r="J21" s="78"/>
      <x:c r="K21" s="34"/>
      <x:c r="L21" s="34"/>
      <x:c r="M21" s="34"/>
      <x:c r="N21" s="35"/>
    </x:row>
    <x:row r="22">
      <x:c r="A22" s="34"/>
      <x:c r="B22" s="34"/>
      <x:c r="C22" s="78"/>
      <x:c r="D22" s="200" t="str">
        <x:f>IF(B22="","",IFERROR(INDEX('03_PET_LOTES'!$I$5:$I$204,MATCH(B22,'03_PET_LOTES'!$A$5:$A$204,0)),""))</x:f>
      </x:c>
      <x:c r="E22" s="134"/>
      <x:c r="F22" s="208" t="str">
        <x:f>IF(OR(D22="",E22="",D22=0),"",E22/D22)</x:f>
      </x:c>
      <x:c r="G22" s="136"/>
      <x:c r="H22" s="212" t="str">
        <x:f>IF(OR(E22="",G22="",G22=0),"",E22/G22)</x:f>
      </x:c>
      <x:c r="I22" s="34"/>
      <x:c r="J22" s="78"/>
      <x:c r="K22" s="34"/>
      <x:c r="L22" s="34"/>
      <x:c r="M22" s="34"/>
      <x:c r="N22" s="35"/>
    </x:row>
    <x:row r="23">
      <x:c r="A23" s="34"/>
      <x:c r="B23" s="34"/>
      <x:c r="C23" s="78"/>
      <x:c r="D23" s="200" t="str">
        <x:f>IF(B23="","",IFERROR(INDEX('03_PET_LOTES'!$I$5:$I$204,MATCH(B23,'03_PET_LOTES'!$A$5:$A$204,0)),""))</x:f>
      </x:c>
      <x:c r="E23" s="134"/>
      <x:c r="F23" s="208" t="str">
        <x:f>IF(OR(D23="",E23="",D23=0),"",E23/D23)</x:f>
      </x:c>
      <x:c r="G23" s="136"/>
      <x:c r="H23" s="212" t="str">
        <x:f>IF(OR(E23="",G23="",G23=0),"",E23/G23)</x:f>
      </x:c>
      <x:c r="I23" s="34"/>
      <x:c r="J23" s="78"/>
      <x:c r="K23" s="34"/>
      <x:c r="L23" s="34"/>
      <x:c r="M23" s="34"/>
      <x:c r="N23" s="35"/>
    </x:row>
    <x:row r="24">
      <x:c r="A24" s="34"/>
      <x:c r="B24" s="34"/>
      <x:c r="C24" s="78"/>
      <x:c r="D24" s="200" t="str">
        <x:f>IF(B24="","",IFERROR(INDEX('03_PET_LOTES'!$I$5:$I$204,MATCH(B24,'03_PET_LOTES'!$A$5:$A$204,0)),""))</x:f>
      </x:c>
      <x:c r="E24" s="134"/>
      <x:c r="F24" s="208" t="str">
        <x:f>IF(OR(D24="",E24="",D24=0),"",E24/D24)</x:f>
      </x:c>
      <x:c r="G24" s="136"/>
      <x:c r="H24" s="212" t="str">
        <x:f>IF(OR(E24="",G24="",G24=0),"",E24/G24)</x:f>
      </x:c>
      <x:c r="I24" s="34"/>
      <x:c r="J24" s="78"/>
      <x:c r="K24" s="34"/>
      <x:c r="L24" s="34"/>
      <x:c r="M24" s="34"/>
      <x:c r="N24" s="35"/>
    </x:row>
    <x:row r="25">
      <x:c r="A25" s="34"/>
      <x:c r="B25" s="34"/>
      <x:c r="C25" s="78"/>
      <x:c r="D25" s="200" t="str">
        <x:f>IF(B25="","",IFERROR(INDEX('03_PET_LOTES'!$I$5:$I$204,MATCH(B25,'03_PET_LOTES'!$A$5:$A$204,0)),""))</x:f>
      </x:c>
      <x:c r="E25" s="134"/>
      <x:c r="F25" s="208" t="str">
        <x:f>IF(OR(D25="",E25="",D25=0),"",E25/D25)</x:f>
      </x:c>
      <x:c r="G25" s="136"/>
      <x:c r="H25" s="212" t="str">
        <x:f>IF(OR(E25="",G25="",G25=0),"",E25/G25)</x:f>
      </x:c>
      <x:c r="I25" s="34"/>
      <x:c r="J25" s="78"/>
      <x:c r="K25" s="34"/>
      <x:c r="L25" s="34"/>
      <x:c r="M25" s="34"/>
      <x:c r="N25" s="35"/>
    </x:row>
    <x:row r="26">
      <x:c r="A26" s="34"/>
      <x:c r="B26" s="34"/>
      <x:c r="C26" s="78"/>
      <x:c r="D26" s="200" t="str">
        <x:f>IF(B26="","",IFERROR(INDEX('03_PET_LOTES'!$I$5:$I$204,MATCH(B26,'03_PET_LOTES'!$A$5:$A$204,0)),""))</x:f>
      </x:c>
      <x:c r="E26" s="134"/>
      <x:c r="F26" s="208" t="str">
        <x:f>IF(OR(D26="",E26="",D26=0),"",E26/D26)</x:f>
      </x:c>
      <x:c r="G26" s="136"/>
      <x:c r="H26" s="212" t="str">
        <x:f>IF(OR(E26="",G26="",G26=0),"",E26/G26)</x:f>
      </x:c>
      <x:c r="I26" s="34"/>
      <x:c r="J26" s="78"/>
      <x:c r="K26" s="34"/>
      <x:c r="L26" s="34"/>
      <x:c r="M26" s="34"/>
      <x:c r="N26" s="35"/>
    </x:row>
    <x:row r="27">
      <x:c r="A27" s="34"/>
      <x:c r="B27" s="34"/>
      <x:c r="C27" s="78"/>
      <x:c r="D27" s="200" t="str">
        <x:f>IF(B27="","",IFERROR(INDEX('03_PET_LOTES'!$I$5:$I$204,MATCH(B27,'03_PET_LOTES'!$A$5:$A$204,0)),""))</x:f>
      </x:c>
      <x:c r="E27" s="134"/>
      <x:c r="F27" s="208" t="str">
        <x:f>IF(OR(D27="",E27="",D27=0),"",E27/D27)</x:f>
      </x:c>
      <x:c r="G27" s="136"/>
      <x:c r="H27" s="212" t="str">
        <x:f>IF(OR(E27="",G27="",G27=0),"",E27/G27)</x:f>
      </x:c>
      <x:c r="I27" s="34"/>
      <x:c r="J27" s="78"/>
      <x:c r="K27" s="34"/>
      <x:c r="L27" s="34"/>
      <x:c r="M27" s="34"/>
      <x:c r="N27" s="35"/>
    </x:row>
    <x:row r="28">
      <x:c r="A28" s="34"/>
      <x:c r="B28" s="34"/>
      <x:c r="C28" s="78"/>
      <x:c r="D28" s="200" t="str">
        <x:f>IF(B28="","",IFERROR(INDEX('03_PET_LOTES'!$I$5:$I$204,MATCH(B28,'03_PET_LOTES'!$A$5:$A$204,0)),""))</x:f>
      </x:c>
      <x:c r="E28" s="134"/>
      <x:c r="F28" s="208" t="str">
        <x:f>IF(OR(D28="",E28="",D28=0),"",E28/D28)</x:f>
      </x:c>
      <x:c r="G28" s="136"/>
      <x:c r="H28" s="212" t="str">
        <x:f>IF(OR(E28="",G28="",G28=0),"",E28/G28)</x:f>
      </x:c>
      <x:c r="I28" s="34"/>
      <x:c r="J28" s="78"/>
      <x:c r="K28" s="34"/>
      <x:c r="L28" s="34"/>
      <x:c r="M28" s="34"/>
      <x:c r="N28" s="35"/>
    </x:row>
    <x:row r="29">
      <x:c r="A29" s="34"/>
      <x:c r="B29" s="34"/>
      <x:c r="C29" s="78"/>
      <x:c r="D29" s="200" t="str">
        <x:f>IF(B29="","",IFERROR(INDEX('03_PET_LOTES'!$I$5:$I$204,MATCH(B29,'03_PET_LOTES'!$A$5:$A$204,0)),""))</x:f>
      </x:c>
      <x:c r="E29" s="134"/>
      <x:c r="F29" s="208" t="str">
        <x:f>IF(OR(D29="",E29="",D29=0),"",E29/D29)</x:f>
      </x:c>
      <x:c r="G29" s="136"/>
      <x:c r="H29" s="212" t="str">
        <x:f>IF(OR(E29="",G29="",G29=0),"",E29/G29)</x:f>
      </x:c>
      <x:c r="I29" s="34"/>
      <x:c r="J29" s="78"/>
      <x:c r="K29" s="34"/>
      <x:c r="L29" s="34"/>
      <x:c r="M29" s="34"/>
      <x:c r="N29" s="35"/>
    </x:row>
    <x:row r="30">
      <x:c r="A30" s="34"/>
      <x:c r="B30" s="34"/>
      <x:c r="C30" s="78"/>
      <x:c r="D30" s="200" t="str">
        <x:f>IF(B30="","",IFERROR(INDEX('03_PET_LOTES'!$I$5:$I$204,MATCH(B30,'03_PET_LOTES'!$A$5:$A$204,0)),""))</x:f>
      </x:c>
      <x:c r="E30" s="134"/>
      <x:c r="F30" s="208" t="str">
        <x:f>IF(OR(D30="",E30="",D30=0),"",E30/D30)</x:f>
      </x:c>
      <x:c r="G30" s="136"/>
      <x:c r="H30" s="212" t="str">
        <x:f>IF(OR(E30="",G30="",G30=0),"",E30/G30)</x:f>
      </x:c>
      <x:c r="I30" s="34"/>
      <x:c r="J30" s="78"/>
      <x:c r="K30" s="34"/>
      <x:c r="L30" s="34"/>
      <x:c r="M30" s="34"/>
      <x:c r="N30" s="35"/>
    </x:row>
    <x:row r="31">
      <x:c r="A31" s="34"/>
      <x:c r="B31" s="34"/>
      <x:c r="C31" s="78"/>
      <x:c r="D31" s="200" t="str">
        <x:f>IF(B31="","",IFERROR(INDEX('03_PET_LOTES'!$I$5:$I$204,MATCH(B31,'03_PET_LOTES'!$A$5:$A$204,0)),""))</x:f>
      </x:c>
      <x:c r="E31" s="134"/>
      <x:c r="F31" s="208" t="str">
        <x:f>IF(OR(D31="",E31="",D31=0),"",E31/D31)</x:f>
      </x:c>
      <x:c r="G31" s="136"/>
      <x:c r="H31" s="212" t="str">
        <x:f>IF(OR(E31="",G31="",G31=0),"",E31/G31)</x:f>
      </x:c>
      <x:c r="I31" s="34"/>
      <x:c r="J31" s="78"/>
      <x:c r="K31" s="34"/>
      <x:c r="L31" s="34"/>
      <x:c r="M31" s="34"/>
      <x:c r="N31" s="35"/>
    </x:row>
    <x:row r="32">
      <x:c r="A32" s="34"/>
      <x:c r="B32" s="34"/>
      <x:c r="C32" s="78"/>
      <x:c r="D32" s="200" t="str">
        <x:f>IF(B32="","",IFERROR(INDEX('03_PET_LOTES'!$I$5:$I$204,MATCH(B32,'03_PET_LOTES'!$A$5:$A$204,0)),""))</x:f>
      </x:c>
      <x:c r="E32" s="134"/>
      <x:c r="F32" s="208" t="str">
        <x:f>IF(OR(D32="",E32="",D32=0),"",E32/D32)</x:f>
      </x:c>
      <x:c r="G32" s="136"/>
      <x:c r="H32" s="212" t="str">
        <x:f>IF(OR(E32="",G32="",G32=0),"",E32/G32)</x:f>
      </x:c>
      <x:c r="I32" s="34"/>
      <x:c r="J32" s="78"/>
      <x:c r="K32" s="34"/>
      <x:c r="L32" s="34"/>
      <x:c r="M32" s="34"/>
      <x:c r="N32" s="35"/>
    </x:row>
    <x:row r="33">
      <x:c r="A33" s="34"/>
      <x:c r="B33" s="34"/>
      <x:c r="C33" s="78"/>
      <x:c r="D33" s="200" t="str">
        <x:f>IF(B33="","",IFERROR(INDEX('03_PET_LOTES'!$I$5:$I$204,MATCH(B33,'03_PET_LOTES'!$A$5:$A$204,0)),""))</x:f>
      </x:c>
      <x:c r="E33" s="134"/>
      <x:c r="F33" s="208" t="str">
        <x:f>IF(OR(D33="",E33="",D33=0),"",E33/D33)</x:f>
      </x:c>
      <x:c r="G33" s="136"/>
      <x:c r="H33" s="212" t="str">
        <x:f>IF(OR(E33="",G33="",G33=0),"",E33/G33)</x:f>
      </x:c>
      <x:c r="I33" s="34"/>
      <x:c r="J33" s="78"/>
      <x:c r="K33" s="34"/>
      <x:c r="L33" s="34"/>
      <x:c r="M33" s="34"/>
      <x:c r="N33" s="35"/>
    </x:row>
    <x:row r="34">
      <x:c r="A34" s="34"/>
      <x:c r="B34" s="34"/>
      <x:c r="C34" s="78"/>
      <x:c r="D34" s="200" t="str">
        <x:f>IF(B34="","",IFERROR(INDEX('03_PET_LOTES'!$I$5:$I$204,MATCH(B34,'03_PET_LOTES'!$A$5:$A$204,0)),""))</x:f>
      </x:c>
      <x:c r="E34" s="134"/>
      <x:c r="F34" s="208" t="str">
        <x:f>IF(OR(D34="",E34="",D34=0),"",E34/D34)</x:f>
      </x:c>
      <x:c r="G34" s="136"/>
      <x:c r="H34" s="212" t="str">
        <x:f>IF(OR(E34="",G34="",G34=0),"",E34/G34)</x:f>
      </x:c>
      <x:c r="I34" s="34"/>
      <x:c r="J34" s="78"/>
      <x:c r="K34" s="34"/>
      <x:c r="L34" s="34"/>
      <x:c r="M34" s="34"/>
      <x:c r="N34" s="35"/>
    </x:row>
    <x:row r="35">
      <x:c r="A35" s="34"/>
      <x:c r="B35" s="34"/>
      <x:c r="C35" s="78"/>
      <x:c r="D35" s="200" t="str">
        <x:f>IF(B35="","",IFERROR(INDEX('03_PET_LOTES'!$I$5:$I$204,MATCH(B35,'03_PET_LOTES'!$A$5:$A$204,0)),""))</x:f>
      </x:c>
      <x:c r="E35" s="134"/>
      <x:c r="F35" s="208" t="str">
        <x:f>IF(OR(D35="",E35="",D35=0),"",E35/D35)</x:f>
      </x:c>
      <x:c r="G35" s="136"/>
      <x:c r="H35" s="212" t="str">
        <x:f>IF(OR(E35="",G35="",G35=0),"",E35/G35)</x:f>
      </x:c>
      <x:c r="I35" s="34"/>
      <x:c r="J35" s="78"/>
      <x:c r="K35" s="34"/>
      <x:c r="L35" s="34"/>
      <x:c r="M35" s="34"/>
      <x:c r="N35" s="35"/>
    </x:row>
    <x:row r="36">
      <x:c r="A36" s="34"/>
      <x:c r="B36" s="34"/>
      <x:c r="C36" s="78"/>
      <x:c r="D36" s="200" t="str">
        <x:f>IF(B36="","",IFERROR(INDEX('03_PET_LOTES'!$I$5:$I$204,MATCH(B36,'03_PET_LOTES'!$A$5:$A$204,0)),""))</x:f>
      </x:c>
      <x:c r="E36" s="134"/>
      <x:c r="F36" s="208" t="str">
        <x:f>IF(OR(D36="",E36="",D36=0),"",E36/D36)</x:f>
      </x:c>
      <x:c r="G36" s="136"/>
      <x:c r="H36" s="212" t="str">
        <x:f>IF(OR(E36="",G36="",G36=0),"",E36/G36)</x:f>
      </x:c>
      <x:c r="I36" s="34"/>
      <x:c r="J36" s="78"/>
      <x:c r="K36" s="34"/>
      <x:c r="L36" s="34"/>
      <x:c r="M36" s="34"/>
      <x:c r="N36" s="35"/>
    </x:row>
    <x:row r="37">
      <x:c r="A37" s="34"/>
      <x:c r="B37" s="34"/>
      <x:c r="C37" s="78"/>
      <x:c r="D37" s="200" t="str">
        <x:f>IF(B37="","",IFERROR(INDEX('03_PET_LOTES'!$I$5:$I$204,MATCH(B37,'03_PET_LOTES'!$A$5:$A$204,0)),""))</x:f>
      </x:c>
      <x:c r="E37" s="134"/>
      <x:c r="F37" s="208" t="str">
        <x:f>IF(OR(D37="",E37="",D37=0),"",E37/D37)</x:f>
      </x:c>
      <x:c r="G37" s="136"/>
      <x:c r="H37" s="212" t="str">
        <x:f>IF(OR(E37="",G37="",G37=0),"",E37/G37)</x:f>
      </x:c>
      <x:c r="I37" s="34"/>
      <x:c r="J37" s="78"/>
      <x:c r="K37" s="34"/>
      <x:c r="L37" s="34"/>
      <x:c r="M37" s="34"/>
      <x:c r="N37" s="35"/>
    </x:row>
    <x:row r="38">
      <x:c r="A38" s="34"/>
      <x:c r="B38" s="34"/>
      <x:c r="C38" s="78"/>
      <x:c r="D38" s="200" t="str">
        <x:f>IF(B38="","",IFERROR(INDEX('03_PET_LOTES'!$I$5:$I$204,MATCH(B38,'03_PET_LOTES'!$A$5:$A$204,0)),""))</x:f>
      </x:c>
      <x:c r="E38" s="134"/>
      <x:c r="F38" s="208" t="str">
        <x:f>IF(OR(D38="",E38="",D38=0),"",E38/D38)</x:f>
      </x:c>
      <x:c r="G38" s="136"/>
      <x:c r="H38" s="212" t="str">
        <x:f>IF(OR(E38="",G38="",G38=0),"",E38/G38)</x:f>
      </x:c>
      <x:c r="I38" s="34"/>
      <x:c r="J38" s="78"/>
      <x:c r="K38" s="34"/>
      <x:c r="L38" s="34"/>
      <x:c r="M38" s="34"/>
      <x:c r="N38" s="35"/>
    </x:row>
    <x:row r="39">
      <x:c r="A39" s="34"/>
      <x:c r="B39" s="34"/>
      <x:c r="C39" s="78"/>
      <x:c r="D39" s="200" t="str">
        <x:f>IF(B39="","",IFERROR(INDEX('03_PET_LOTES'!$I$5:$I$204,MATCH(B39,'03_PET_LOTES'!$A$5:$A$204,0)),""))</x:f>
      </x:c>
      <x:c r="E39" s="134"/>
      <x:c r="F39" s="208" t="str">
        <x:f>IF(OR(D39="",E39="",D39=0),"",E39/D39)</x:f>
      </x:c>
      <x:c r="G39" s="136"/>
      <x:c r="H39" s="212" t="str">
        <x:f>IF(OR(E39="",G39="",G39=0),"",E39/G39)</x:f>
      </x:c>
      <x:c r="I39" s="34"/>
      <x:c r="J39" s="78"/>
      <x:c r="K39" s="34"/>
      <x:c r="L39" s="34"/>
      <x:c r="M39" s="34"/>
      <x:c r="N39" s="35"/>
    </x:row>
    <x:row r="40">
      <x:c r="A40" s="34"/>
      <x:c r="B40" s="34"/>
      <x:c r="C40" s="78"/>
      <x:c r="D40" s="200" t="str">
        <x:f>IF(B40="","",IFERROR(INDEX('03_PET_LOTES'!$I$5:$I$204,MATCH(B40,'03_PET_LOTES'!$A$5:$A$204,0)),""))</x:f>
      </x:c>
      <x:c r="E40" s="134"/>
      <x:c r="F40" s="208" t="str">
        <x:f>IF(OR(D40="",E40="",D40=0),"",E40/D40)</x:f>
      </x:c>
      <x:c r="G40" s="136"/>
      <x:c r="H40" s="212" t="str">
        <x:f>IF(OR(E40="",G40="",G40=0),"",E40/G40)</x:f>
      </x:c>
      <x:c r="I40" s="34"/>
      <x:c r="J40" s="78"/>
      <x:c r="K40" s="34"/>
      <x:c r="L40" s="34"/>
      <x:c r="M40" s="34"/>
      <x:c r="N40" s="35"/>
    </x:row>
    <x:row r="41">
      <x:c r="A41" s="34"/>
      <x:c r="B41" s="34"/>
      <x:c r="C41" s="78"/>
      <x:c r="D41" s="200" t="str">
        <x:f>IF(B41="","",IFERROR(INDEX('03_PET_LOTES'!$I$5:$I$204,MATCH(B41,'03_PET_LOTES'!$A$5:$A$204,0)),""))</x:f>
      </x:c>
      <x:c r="E41" s="134"/>
      <x:c r="F41" s="208" t="str">
        <x:f>IF(OR(D41="",E41="",D41=0),"",E41/D41)</x:f>
      </x:c>
      <x:c r="G41" s="136"/>
      <x:c r="H41" s="212" t="str">
        <x:f>IF(OR(E41="",G41="",G41=0),"",E41/G41)</x:f>
      </x:c>
      <x:c r="I41" s="34"/>
      <x:c r="J41" s="78"/>
      <x:c r="K41" s="34"/>
      <x:c r="L41" s="34"/>
      <x:c r="M41" s="34"/>
      <x:c r="N41" s="35"/>
    </x:row>
    <x:row r="42">
      <x:c r="A42" s="34"/>
      <x:c r="B42" s="34"/>
      <x:c r="C42" s="78"/>
      <x:c r="D42" s="200" t="str">
        <x:f>IF(B42="","",IFERROR(INDEX('03_PET_LOTES'!$I$5:$I$204,MATCH(B42,'03_PET_LOTES'!$A$5:$A$204,0)),""))</x:f>
      </x:c>
      <x:c r="E42" s="134"/>
      <x:c r="F42" s="208" t="str">
        <x:f>IF(OR(D42="",E42="",D42=0),"",E42/D42)</x:f>
      </x:c>
      <x:c r="G42" s="136"/>
      <x:c r="H42" s="212" t="str">
        <x:f>IF(OR(E42="",G42="",G42=0),"",E42/G42)</x:f>
      </x:c>
      <x:c r="I42" s="34"/>
      <x:c r="J42" s="78"/>
      <x:c r="K42" s="34"/>
      <x:c r="L42" s="34"/>
      <x:c r="M42" s="34"/>
      <x:c r="N42" s="35"/>
    </x:row>
    <x:row r="43">
      <x:c r="A43" s="34"/>
      <x:c r="B43" s="34"/>
      <x:c r="C43" s="78"/>
      <x:c r="D43" s="200" t="str">
        <x:f>IF(B43="","",IFERROR(INDEX('03_PET_LOTES'!$I$5:$I$204,MATCH(B43,'03_PET_LOTES'!$A$5:$A$204,0)),""))</x:f>
      </x:c>
      <x:c r="E43" s="134"/>
      <x:c r="F43" s="208" t="str">
        <x:f>IF(OR(D43="",E43="",D43=0),"",E43/D43)</x:f>
      </x:c>
      <x:c r="G43" s="136"/>
      <x:c r="H43" s="212" t="str">
        <x:f>IF(OR(E43="",G43="",G43=0),"",E43/G43)</x:f>
      </x:c>
      <x:c r="I43" s="34"/>
      <x:c r="J43" s="78"/>
      <x:c r="K43" s="34"/>
      <x:c r="L43" s="34"/>
      <x:c r="M43" s="34"/>
      <x:c r="N43" s="35"/>
    </x:row>
    <x:row r="44">
      <x:c r="A44" s="34"/>
      <x:c r="B44" s="34"/>
      <x:c r="C44" s="78"/>
      <x:c r="D44" s="200" t="str">
        <x:f>IF(B44="","",IFERROR(INDEX('03_PET_LOTES'!$I$5:$I$204,MATCH(B44,'03_PET_LOTES'!$A$5:$A$204,0)),""))</x:f>
      </x:c>
      <x:c r="E44" s="134"/>
      <x:c r="F44" s="208" t="str">
        <x:f>IF(OR(D44="",E44="",D44=0),"",E44/D44)</x:f>
      </x:c>
      <x:c r="G44" s="136"/>
      <x:c r="H44" s="212" t="str">
        <x:f>IF(OR(E44="",G44="",G44=0),"",E44/G44)</x:f>
      </x:c>
      <x:c r="I44" s="34"/>
      <x:c r="J44" s="78"/>
      <x:c r="K44" s="34"/>
      <x:c r="L44" s="34"/>
      <x:c r="M44" s="34"/>
      <x:c r="N44" s="35"/>
    </x:row>
    <x:row r="45">
      <x:c r="A45" s="34"/>
      <x:c r="B45" s="34"/>
      <x:c r="C45" s="78"/>
      <x:c r="D45" s="200" t="str">
        <x:f>IF(B45="","",IFERROR(INDEX('03_PET_LOTES'!$I$5:$I$204,MATCH(B45,'03_PET_LOTES'!$A$5:$A$204,0)),""))</x:f>
      </x:c>
      <x:c r="E45" s="134"/>
      <x:c r="F45" s="208" t="str">
        <x:f>IF(OR(D45="",E45="",D45=0),"",E45/D45)</x:f>
      </x:c>
      <x:c r="G45" s="136"/>
      <x:c r="H45" s="212" t="str">
        <x:f>IF(OR(E45="",G45="",G45=0),"",E45/G45)</x:f>
      </x:c>
      <x:c r="I45" s="34"/>
      <x:c r="J45" s="78"/>
      <x:c r="K45" s="34"/>
      <x:c r="L45" s="34"/>
      <x:c r="M45" s="34"/>
      <x:c r="N45" s="35"/>
    </x:row>
    <x:row r="46">
      <x:c r="A46" s="34"/>
      <x:c r="B46" s="34"/>
      <x:c r="C46" s="78"/>
      <x:c r="D46" s="200" t="str">
        <x:f>IF(B46="","",IFERROR(INDEX('03_PET_LOTES'!$I$5:$I$204,MATCH(B46,'03_PET_LOTES'!$A$5:$A$204,0)),""))</x:f>
      </x:c>
      <x:c r="E46" s="134"/>
      <x:c r="F46" s="208" t="str">
        <x:f>IF(OR(D46="",E46="",D46=0),"",E46/D46)</x:f>
      </x:c>
      <x:c r="G46" s="136"/>
      <x:c r="H46" s="212" t="str">
        <x:f>IF(OR(E46="",G46="",G46=0),"",E46/G46)</x:f>
      </x:c>
      <x:c r="I46" s="34"/>
      <x:c r="J46" s="78"/>
      <x:c r="K46" s="34"/>
      <x:c r="L46" s="34"/>
      <x:c r="M46" s="34"/>
      <x:c r="N46" s="35"/>
    </x:row>
    <x:row r="47">
      <x:c r="A47" s="34"/>
      <x:c r="B47" s="34"/>
      <x:c r="C47" s="78"/>
      <x:c r="D47" s="200" t="str">
        <x:f>IF(B47="","",IFERROR(INDEX('03_PET_LOTES'!$I$5:$I$204,MATCH(B47,'03_PET_LOTES'!$A$5:$A$204,0)),""))</x:f>
      </x:c>
      <x:c r="E47" s="134"/>
      <x:c r="F47" s="208" t="str">
        <x:f>IF(OR(D47="",E47="",D47=0),"",E47/D47)</x:f>
      </x:c>
      <x:c r="G47" s="136"/>
      <x:c r="H47" s="212" t="str">
        <x:f>IF(OR(E47="",G47="",G47=0),"",E47/G47)</x:f>
      </x:c>
      <x:c r="I47" s="34"/>
      <x:c r="J47" s="78"/>
      <x:c r="K47" s="34"/>
      <x:c r="L47" s="34"/>
      <x:c r="M47" s="34"/>
      <x:c r="N47" s="35"/>
    </x:row>
    <x:row r="48">
      <x:c r="A48" s="34"/>
      <x:c r="B48" s="34"/>
      <x:c r="C48" s="78"/>
      <x:c r="D48" s="200" t="str">
        <x:f>IF(B48="","",IFERROR(INDEX('03_PET_LOTES'!$I$5:$I$204,MATCH(B48,'03_PET_LOTES'!$A$5:$A$204,0)),""))</x:f>
      </x:c>
      <x:c r="E48" s="134"/>
      <x:c r="F48" s="208" t="str">
        <x:f>IF(OR(D48="",E48="",D48=0),"",E48/D48)</x:f>
      </x:c>
      <x:c r="G48" s="136"/>
      <x:c r="H48" s="212" t="str">
        <x:f>IF(OR(E48="",G48="",G48=0),"",E48/G48)</x:f>
      </x:c>
      <x:c r="I48" s="34"/>
      <x:c r="J48" s="78"/>
      <x:c r="K48" s="34"/>
      <x:c r="L48" s="34"/>
      <x:c r="M48" s="34"/>
      <x:c r="N48" s="35"/>
    </x:row>
    <x:row r="49">
      <x:c r="A49" s="34"/>
      <x:c r="B49" s="34"/>
      <x:c r="C49" s="78"/>
      <x:c r="D49" s="200" t="str">
        <x:f>IF(B49="","",IFERROR(INDEX('03_PET_LOTES'!$I$5:$I$204,MATCH(B49,'03_PET_LOTES'!$A$5:$A$204,0)),""))</x:f>
      </x:c>
      <x:c r="E49" s="134"/>
      <x:c r="F49" s="208" t="str">
        <x:f>IF(OR(D49="",E49="",D49=0),"",E49/D49)</x:f>
      </x:c>
      <x:c r="G49" s="136"/>
      <x:c r="H49" s="212" t="str">
        <x:f>IF(OR(E49="",G49="",G49=0),"",E49/G49)</x:f>
      </x:c>
      <x:c r="I49" s="34"/>
      <x:c r="J49" s="78"/>
      <x:c r="K49" s="34"/>
      <x:c r="L49" s="34"/>
      <x:c r="M49" s="34"/>
      <x:c r="N49" s="35"/>
    </x:row>
    <x:row r="50">
      <x:c r="A50" s="34"/>
      <x:c r="B50" s="34"/>
      <x:c r="C50" s="78"/>
      <x:c r="D50" s="200" t="str">
        <x:f>IF(B50="","",IFERROR(INDEX('03_PET_LOTES'!$I$5:$I$204,MATCH(B50,'03_PET_LOTES'!$A$5:$A$204,0)),""))</x:f>
      </x:c>
      <x:c r="E50" s="134"/>
      <x:c r="F50" s="208" t="str">
        <x:f>IF(OR(D50="",E50="",D50=0),"",E50/D50)</x:f>
      </x:c>
      <x:c r="G50" s="136"/>
      <x:c r="H50" s="212" t="str">
        <x:f>IF(OR(E50="",G50="",G50=0),"",E50/G50)</x:f>
      </x:c>
      <x:c r="I50" s="34"/>
      <x:c r="J50" s="78"/>
      <x:c r="K50" s="34"/>
      <x:c r="L50" s="34"/>
      <x:c r="M50" s="34"/>
      <x:c r="N50" s="35"/>
    </x:row>
    <x:row r="51">
      <x:c r="A51" s="34"/>
      <x:c r="B51" s="34"/>
      <x:c r="C51" s="78"/>
      <x:c r="D51" s="200" t="str">
        <x:f>IF(B51="","",IFERROR(INDEX('03_PET_LOTES'!$I$5:$I$204,MATCH(B51,'03_PET_LOTES'!$A$5:$A$204,0)),""))</x:f>
      </x:c>
      <x:c r="E51" s="134"/>
      <x:c r="F51" s="208" t="str">
        <x:f>IF(OR(D51="",E51="",D51=0),"",E51/D51)</x:f>
      </x:c>
      <x:c r="G51" s="136"/>
      <x:c r="H51" s="212" t="str">
        <x:f>IF(OR(E51="",G51="",G51=0),"",E51/G51)</x:f>
      </x:c>
      <x:c r="I51" s="34"/>
      <x:c r="J51" s="78"/>
      <x:c r="K51" s="34"/>
      <x:c r="L51" s="34"/>
      <x:c r="M51" s="34"/>
      <x:c r="N51" s="35"/>
    </x:row>
    <x:row r="52">
      <x:c r="A52" s="34"/>
      <x:c r="B52" s="34"/>
      <x:c r="C52" s="78"/>
      <x:c r="D52" s="200" t="str">
        <x:f>IF(B52="","",IFERROR(INDEX('03_PET_LOTES'!$I$5:$I$204,MATCH(B52,'03_PET_LOTES'!$A$5:$A$204,0)),""))</x:f>
      </x:c>
      <x:c r="E52" s="134"/>
      <x:c r="F52" s="208" t="str">
        <x:f>IF(OR(D52="",E52="",D52=0),"",E52/D52)</x:f>
      </x:c>
      <x:c r="G52" s="136"/>
      <x:c r="H52" s="212" t="str">
        <x:f>IF(OR(E52="",G52="",G52=0),"",E52/G52)</x:f>
      </x:c>
      <x:c r="I52" s="34"/>
      <x:c r="J52" s="78"/>
      <x:c r="K52" s="34"/>
      <x:c r="L52" s="34"/>
      <x:c r="M52" s="34"/>
      <x:c r="N52" s="35"/>
    </x:row>
    <x:row r="53">
      <x:c r="A53" s="34"/>
      <x:c r="B53" s="34"/>
      <x:c r="C53" s="78"/>
      <x:c r="D53" s="200" t="str">
        <x:f>IF(B53="","",IFERROR(INDEX('03_PET_LOTES'!$I$5:$I$204,MATCH(B53,'03_PET_LOTES'!$A$5:$A$204,0)),""))</x:f>
      </x:c>
      <x:c r="E53" s="134"/>
      <x:c r="F53" s="208" t="str">
        <x:f>IF(OR(D53="",E53="",D53=0),"",E53/D53)</x:f>
      </x:c>
      <x:c r="G53" s="136"/>
      <x:c r="H53" s="212" t="str">
        <x:f>IF(OR(E53="",G53="",G53=0),"",E53/G53)</x:f>
      </x:c>
      <x:c r="I53" s="34"/>
      <x:c r="J53" s="78"/>
      <x:c r="K53" s="34"/>
      <x:c r="L53" s="34"/>
      <x:c r="M53" s="34"/>
      <x:c r="N53" s="35"/>
    </x:row>
    <x:row r="54">
      <x:c r="A54" s="34"/>
      <x:c r="B54" s="34"/>
      <x:c r="C54" s="78"/>
      <x:c r="D54" s="200" t="str">
        <x:f>IF(B54="","",IFERROR(INDEX('03_PET_LOTES'!$I$5:$I$204,MATCH(B54,'03_PET_LOTES'!$A$5:$A$204,0)),""))</x:f>
      </x:c>
      <x:c r="E54" s="134"/>
      <x:c r="F54" s="208" t="str">
        <x:f>IF(OR(D54="",E54="",D54=0),"",E54/D54)</x:f>
      </x:c>
      <x:c r="G54" s="136"/>
      <x:c r="H54" s="212" t="str">
        <x:f>IF(OR(E54="",G54="",G54=0),"",E54/G54)</x:f>
      </x:c>
      <x:c r="I54" s="34"/>
      <x:c r="J54" s="78"/>
      <x:c r="K54" s="34"/>
      <x:c r="L54" s="34"/>
      <x:c r="M54" s="34"/>
      <x:c r="N54" s="35"/>
    </x:row>
    <x:row r="55">
      <x:c r="A55" s="34"/>
      <x:c r="B55" s="34"/>
      <x:c r="C55" s="78"/>
      <x:c r="D55" s="200" t="str">
        <x:f>IF(B55="","",IFERROR(INDEX('03_PET_LOTES'!$I$5:$I$204,MATCH(B55,'03_PET_LOTES'!$A$5:$A$204,0)),""))</x:f>
      </x:c>
      <x:c r="E55" s="134"/>
      <x:c r="F55" s="208" t="str">
        <x:f>IF(OR(D55="",E55="",D55=0),"",E55/D55)</x:f>
      </x:c>
      <x:c r="G55" s="136"/>
      <x:c r="H55" s="212" t="str">
        <x:f>IF(OR(E55="",G55="",G55=0),"",E55/G55)</x:f>
      </x:c>
      <x:c r="I55" s="34"/>
      <x:c r="J55" s="78"/>
      <x:c r="K55" s="34"/>
      <x:c r="L55" s="34"/>
      <x:c r="M55" s="34"/>
      <x:c r="N55" s="35"/>
    </x:row>
    <x:row r="56">
      <x:c r="A56" s="34"/>
      <x:c r="B56" s="34"/>
      <x:c r="C56" s="78"/>
      <x:c r="D56" s="200" t="str">
        <x:f>IF(B56="","",IFERROR(INDEX('03_PET_LOTES'!$I$5:$I$204,MATCH(B56,'03_PET_LOTES'!$A$5:$A$204,0)),""))</x:f>
      </x:c>
      <x:c r="E56" s="134"/>
      <x:c r="F56" s="208" t="str">
        <x:f>IF(OR(D56="",E56="",D56=0),"",E56/D56)</x:f>
      </x:c>
      <x:c r="G56" s="136"/>
      <x:c r="H56" s="212" t="str">
        <x:f>IF(OR(E56="",G56="",G56=0),"",E56/G56)</x:f>
      </x:c>
      <x:c r="I56" s="34"/>
      <x:c r="J56" s="78"/>
      <x:c r="K56" s="34"/>
      <x:c r="L56" s="34"/>
      <x:c r="M56" s="34"/>
      <x:c r="N56" s="35"/>
    </x:row>
    <x:row r="57">
      <x:c r="A57" s="34"/>
      <x:c r="B57" s="34"/>
      <x:c r="C57" s="78"/>
      <x:c r="D57" s="200" t="str">
        <x:f>IF(B57="","",IFERROR(INDEX('03_PET_LOTES'!$I$5:$I$204,MATCH(B57,'03_PET_LOTES'!$A$5:$A$204,0)),""))</x:f>
      </x:c>
      <x:c r="E57" s="134"/>
      <x:c r="F57" s="208" t="str">
        <x:f>IF(OR(D57="",E57="",D57=0),"",E57/D57)</x:f>
      </x:c>
      <x:c r="G57" s="136"/>
      <x:c r="H57" s="212" t="str">
        <x:f>IF(OR(E57="",G57="",G57=0),"",E57/G57)</x:f>
      </x:c>
      <x:c r="I57" s="34"/>
      <x:c r="J57" s="78"/>
      <x:c r="K57" s="34"/>
      <x:c r="L57" s="34"/>
      <x:c r="M57" s="34"/>
      <x:c r="N57" s="35"/>
    </x:row>
    <x:row r="58">
      <x:c r="A58" s="34"/>
      <x:c r="B58" s="34"/>
      <x:c r="C58" s="78"/>
      <x:c r="D58" s="200" t="str">
        <x:f>IF(B58="","",IFERROR(INDEX('03_PET_LOTES'!$I$5:$I$204,MATCH(B58,'03_PET_LOTES'!$A$5:$A$204,0)),""))</x:f>
      </x:c>
      <x:c r="E58" s="134"/>
      <x:c r="F58" s="208" t="str">
        <x:f>IF(OR(D58="",E58="",D58=0),"",E58/D58)</x:f>
      </x:c>
      <x:c r="G58" s="136"/>
      <x:c r="H58" s="212" t="str">
        <x:f>IF(OR(E58="",G58="",G58=0),"",E58/G58)</x:f>
      </x:c>
      <x:c r="I58" s="34"/>
      <x:c r="J58" s="78"/>
      <x:c r="K58" s="34"/>
      <x:c r="L58" s="34"/>
      <x:c r="M58" s="34"/>
      <x:c r="N58" s="35"/>
    </x:row>
    <x:row r="59">
      <x:c r="A59" s="34"/>
      <x:c r="B59" s="34"/>
      <x:c r="C59" s="78"/>
      <x:c r="D59" s="200" t="str">
        <x:f>IF(B59="","",IFERROR(INDEX('03_PET_LOTES'!$I$5:$I$204,MATCH(B59,'03_PET_LOTES'!$A$5:$A$204,0)),""))</x:f>
      </x:c>
      <x:c r="E59" s="134"/>
      <x:c r="F59" s="208" t="str">
        <x:f>IF(OR(D59="",E59="",D59=0),"",E59/D59)</x:f>
      </x:c>
      <x:c r="G59" s="136"/>
      <x:c r="H59" s="212" t="str">
        <x:f>IF(OR(E59="",G59="",G59=0),"",E59/G59)</x:f>
      </x:c>
      <x:c r="I59" s="34"/>
      <x:c r="J59" s="78"/>
      <x:c r="K59" s="34"/>
      <x:c r="L59" s="34"/>
      <x:c r="M59" s="34"/>
      <x:c r="N59" s="35"/>
    </x:row>
    <x:row r="60">
      <x:c r="A60" s="34"/>
      <x:c r="B60" s="34"/>
      <x:c r="C60" s="78"/>
      <x:c r="D60" s="200" t="str">
        <x:f>IF(B60="","",IFERROR(INDEX('03_PET_LOTES'!$I$5:$I$204,MATCH(B60,'03_PET_LOTES'!$A$5:$A$204,0)),""))</x:f>
      </x:c>
      <x:c r="E60" s="134"/>
      <x:c r="F60" s="208" t="str">
        <x:f>IF(OR(D60="",E60="",D60=0),"",E60/D60)</x:f>
      </x:c>
      <x:c r="G60" s="136"/>
      <x:c r="H60" s="212" t="str">
        <x:f>IF(OR(E60="",G60="",G60=0),"",E60/G60)</x:f>
      </x:c>
      <x:c r="I60" s="34"/>
      <x:c r="J60" s="78"/>
      <x:c r="K60" s="34"/>
      <x:c r="L60" s="34"/>
      <x:c r="M60" s="34"/>
      <x:c r="N60" s="35"/>
    </x:row>
    <x:row r="61">
      <x:c r="A61" s="34"/>
      <x:c r="B61" s="34"/>
      <x:c r="C61" s="78"/>
      <x:c r="D61" s="200" t="str">
        <x:f>IF(B61="","",IFERROR(INDEX('03_PET_LOTES'!$I$5:$I$204,MATCH(B61,'03_PET_LOTES'!$A$5:$A$204,0)),""))</x:f>
      </x:c>
      <x:c r="E61" s="134"/>
      <x:c r="F61" s="208" t="str">
        <x:f>IF(OR(D61="",E61="",D61=0),"",E61/D61)</x:f>
      </x:c>
      <x:c r="G61" s="136"/>
      <x:c r="H61" s="212" t="str">
        <x:f>IF(OR(E61="",G61="",G61=0),"",E61/G61)</x:f>
      </x:c>
      <x:c r="I61" s="34"/>
      <x:c r="J61" s="78"/>
      <x:c r="K61" s="34"/>
      <x:c r="L61" s="34"/>
      <x:c r="M61" s="34"/>
      <x:c r="N61" s="35"/>
    </x:row>
    <x:row r="62">
      <x:c r="A62" s="34"/>
      <x:c r="B62" s="34"/>
      <x:c r="C62" s="78"/>
      <x:c r="D62" s="200" t="str">
        <x:f>IF(B62="","",IFERROR(INDEX('03_PET_LOTES'!$I$5:$I$204,MATCH(B62,'03_PET_LOTES'!$A$5:$A$204,0)),""))</x:f>
      </x:c>
      <x:c r="E62" s="134"/>
      <x:c r="F62" s="208" t="str">
        <x:f>IF(OR(D62="",E62="",D62=0),"",E62/D62)</x:f>
      </x:c>
      <x:c r="G62" s="136"/>
      <x:c r="H62" s="212" t="str">
        <x:f>IF(OR(E62="",G62="",G62=0),"",E62/G62)</x:f>
      </x:c>
      <x:c r="I62" s="34"/>
      <x:c r="J62" s="78"/>
      <x:c r="K62" s="34"/>
      <x:c r="L62" s="34"/>
      <x:c r="M62" s="34"/>
      <x:c r="N62" s="35"/>
    </x:row>
    <x:row r="63">
      <x:c r="A63" s="34"/>
      <x:c r="B63" s="34"/>
      <x:c r="C63" s="78"/>
      <x:c r="D63" s="200" t="str">
        <x:f>IF(B63="","",IFERROR(INDEX('03_PET_LOTES'!$I$5:$I$204,MATCH(B63,'03_PET_LOTES'!$A$5:$A$204,0)),""))</x:f>
      </x:c>
      <x:c r="E63" s="134"/>
      <x:c r="F63" s="208" t="str">
        <x:f>IF(OR(D63="",E63="",D63=0),"",E63/D63)</x:f>
      </x:c>
      <x:c r="G63" s="136"/>
      <x:c r="H63" s="212" t="str">
        <x:f>IF(OR(E63="",G63="",G63=0),"",E63/G63)</x:f>
      </x:c>
      <x:c r="I63" s="34"/>
      <x:c r="J63" s="78"/>
      <x:c r="K63" s="34"/>
      <x:c r="L63" s="34"/>
      <x:c r="M63" s="34"/>
      <x:c r="N63" s="35"/>
    </x:row>
    <x:row r="64">
      <x:c r="A64" s="34"/>
      <x:c r="B64" s="34"/>
      <x:c r="C64" s="78"/>
      <x:c r="D64" s="200" t="str">
        <x:f>IF(B64="","",IFERROR(INDEX('03_PET_LOTES'!$I$5:$I$204,MATCH(B64,'03_PET_LOTES'!$A$5:$A$204,0)),""))</x:f>
      </x:c>
      <x:c r="E64" s="134"/>
      <x:c r="F64" s="208" t="str">
        <x:f>IF(OR(D64="",E64="",D64=0),"",E64/D64)</x:f>
      </x:c>
      <x:c r="G64" s="136"/>
      <x:c r="H64" s="212" t="str">
        <x:f>IF(OR(E64="",G64="",G64=0),"",E64/G64)</x:f>
      </x:c>
      <x:c r="I64" s="34"/>
      <x:c r="J64" s="78"/>
      <x:c r="K64" s="34"/>
      <x:c r="L64" s="34"/>
      <x:c r="M64" s="34"/>
      <x:c r="N64" s="35"/>
    </x:row>
    <x:row r="65">
      <x:c r="A65" s="34"/>
      <x:c r="B65" s="34"/>
      <x:c r="C65" s="78"/>
      <x:c r="D65" s="200" t="str">
        <x:f>IF(B65="","",IFERROR(INDEX('03_PET_LOTES'!$I$5:$I$204,MATCH(B65,'03_PET_LOTES'!$A$5:$A$204,0)),""))</x:f>
      </x:c>
      <x:c r="E65" s="134"/>
      <x:c r="F65" s="208" t="str">
        <x:f>IF(OR(D65="",E65="",D65=0),"",E65/D65)</x:f>
      </x:c>
      <x:c r="G65" s="136"/>
      <x:c r="H65" s="212" t="str">
        <x:f>IF(OR(E65="",G65="",G65=0),"",E65/G65)</x:f>
      </x:c>
      <x:c r="I65" s="34"/>
      <x:c r="J65" s="78"/>
      <x:c r="K65" s="34"/>
      <x:c r="L65" s="34"/>
      <x:c r="M65" s="34"/>
      <x:c r="N65" s="35"/>
    </x:row>
    <x:row r="66">
      <x:c r="A66" s="34"/>
      <x:c r="B66" s="34"/>
      <x:c r="C66" s="78"/>
      <x:c r="D66" s="200" t="str">
        <x:f>IF(B66="","",IFERROR(INDEX('03_PET_LOTES'!$I$5:$I$204,MATCH(B66,'03_PET_LOTES'!$A$5:$A$204,0)),""))</x:f>
      </x:c>
      <x:c r="E66" s="134"/>
      <x:c r="F66" s="208" t="str">
        <x:f>IF(OR(D66="",E66="",D66=0),"",E66/D66)</x:f>
      </x:c>
      <x:c r="G66" s="136"/>
      <x:c r="H66" s="212" t="str">
        <x:f>IF(OR(E66="",G66="",G66=0),"",E66/G66)</x:f>
      </x:c>
      <x:c r="I66" s="34"/>
      <x:c r="J66" s="78"/>
      <x:c r="K66" s="34"/>
      <x:c r="L66" s="34"/>
      <x:c r="M66" s="34"/>
      <x:c r="N66" s="35"/>
    </x:row>
    <x:row r="67">
      <x:c r="A67" s="34"/>
      <x:c r="B67" s="34"/>
      <x:c r="C67" s="78"/>
      <x:c r="D67" s="200" t="str">
        <x:f>IF(B67="","",IFERROR(INDEX('03_PET_LOTES'!$I$5:$I$204,MATCH(B67,'03_PET_LOTES'!$A$5:$A$204,0)),""))</x:f>
      </x:c>
      <x:c r="E67" s="134"/>
      <x:c r="F67" s="208" t="str">
        <x:f>IF(OR(D67="",E67="",D67=0),"",E67/D67)</x:f>
      </x:c>
      <x:c r="G67" s="136"/>
      <x:c r="H67" s="212" t="str">
        <x:f>IF(OR(E67="",G67="",G67=0),"",E67/G67)</x:f>
      </x:c>
      <x:c r="I67" s="34"/>
      <x:c r="J67" s="78"/>
      <x:c r="K67" s="34"/>
      <x:c r="L67" s="34"/>
      <x:c r="M67" s="34"/>
      <x:c r="N67" s="35"/>
    </x:row>
    <x:row r="68">
      <x:c r="A68" s="34"/>
      <x:c r="B68" s="34"/>
      <x:c r="C68" s="78"/>
      <x:c r="D68" s="200" t="str">
        <x:f>IF(B68="","",IFERROR(INDEX('03_PET_LOTES'!$I$5:$I$204,MATCH(B68,'03_PET_LOTES'!$A$5:$A$204,0)),""))</x:f>
      </x:c>
      <x:c r="E68" s="134"/>
      <x:c r="F68" s="208" t="str">
        <x:f>IF(OR(D68="",E68="",D68=0),"",E68/D68)</x:f>
      </x:c>
      <x:c r="G68" s="136"/>
      <x:c r="H68" s="212" t="str">
        <x:f>IF(OR(E68="",G68="",G68=0),"",E68/G68)</x:f>
      </x:c>
      <x:c r="I68" s="34"/>
      <x:c r="J68" s="78"/>
      <x:c r="K68" s="34"/>
      <x:c r="L68" s="34"/>
      <x:c r="M68" s="34"/>
      <x:c r="N68" s="35"/>
    </x:row>
    <x:row r="69">
      <x:c r="A69" s="34"/>
      <x:c r="B69" s="34"/>
      <x:c r="C69" s="78"/>
      <x:c r="D69" s="200" t="str">
        <x:f>IF(B69="","",IFERROR(INDEX('03_PET_LOTES'!$I$5:$I$204,MATCH(B69,'03_PET_LOTES'!$A$5:$A$204,0)),""))</x:f>
      </x:c>
      <x:c r="E69" s="134"/>
      <x:c r="F69" s="208" t="str">
        <x:f>IF(OR(D69="",E69="",D69=0),"",E69/D69)</x:f>
      </x:c>
      <x:c r="G69" s="136"/>
      <x:c r="H69" s="212" t="str">
        <x:f>IF(OR(E69="",G69="",G69=0),"",E69/G69)</x:f>
      </x:c>
      <x:c r="I69" s="34"/>
      <x:c r="J69" s="78"/>
      <x:c r="K69" s="34"/>
      <x:c r="L69" s="34"/>
      <x:c r="M69" s="34"/>
      <x:c r="N69" s="35"/>
    </x:row>
    <x:row r="70">
      <x:c r="A70" s="34"/>
      <x:c r="B70" s="34"/>
      <x:c r="C70" s="78"/>
      <x:c r="D70" s="200" t="str">
        <x:f>IF(B70="","",IFERROR(INDEX('03_PET_LOTES'!$I$5:$I$204,MATCH(B70,'03_PET_LOTES'!$A$5:$A$204,0)),""))</x:f>
      </x:c>
      <x:c r="E70" s="134"/>
      <x:c r="F70" s="208" t="str">
        <x:f>IF(OR(D70="",E70="",D70=0),"",E70/D70)</x:f>
      </x:c>
      <x:c r="G70" s="136"/>
      <x:c r="H70" s="212" t="str">
        <x:f>IF(OR(E70="",G70="",G70=0),"",E70/G70)</x:f>
      </x:c>
      <x:c r="I70" s="34"/>
      <x:c r="J70" s="78"/>
      <x:c r="K70" s="34"/>
      <x:c r="L70" s="34"/>
      <x:c r="M70" s="34"/>
      <x:c r="N70" s="35"/>
    </x:row>
    <x:row r="71">
      <x:c r="A71" s="34"/>
      <x:c r="B71" s="34"/>
      <x:c r="C71" s="78"/>
      <x:c r="D71" s="200" t="str">
        <x:f>IF(B71="","",IFERROR(INDEX('03_PET_LOTES'!$I$5:$I$204,MATCH(B71,'03_PET_LOTES'!$A$5:$A$204,0)),""))</x:f>
      </x:c>
      <x:c r="E71" s="134"/>
      <x:c r="F71" s="208" t="str">
        <x:f>IF(OR(D71="",E71="",D71=0),"",E71/D71)</x:f>
      </x:c>
      <x:c r="G71" s="136"/>
      <x:c r="H71" s="212" t="str">
        <x:f>IF(OR(E71="",G71="",G71=0),"",E71/G71)</x:f>
      </x:c>
      <x:c r="I71" s="34"/>
      <x:c r="J71" s="78"/>
      <x:c r="K71" s="34"/>
      <x:c r="L71" s="34"/>
      <x:c r="M71" s="34"/>
      <x:c r="N71" s="35"/>
    </x:row>
    <x:row r="72">
      <x:c r="A72" s="34"/>
      <x:c r="B72" s="34"/>
      <x:c r="C72" s="78"/>
      <x:c r="D72" s="200" t="str">
        <x:f>IF(B72="","",IFERROR(INDEX('03_PET_LOTES'!$I$5:$I$204,MATCH(B72,'03_PET_LOTES'!$A$5:$A$204,0)),""))</x:f>
      </x:c>
      <x:c r="E72" s="134"/>
      <x:c r="F72" s="208" t="str">
        <x:f>IF(OR(D72="",E72="",D72=0),"",E72/D72)</x:f>
      </x:c>
      <x:c r="G72" s="136"/>
      <x:c r="H72" s="212" t="str">
        <x:f>IF(OR(E72="",G72="",G72=0),"",E72/G72)</x:f>
      </x:c>
      <x:c r="I72" s="34"/>
      <x:c r="J72" s="78"/>
      <x:c r="K72" s="34"/>
      <x:c r="L72" s="34"/>
      <x:c r="M72" s="34"/>
      <x:c r="N72" s="35"/>
    </x:row>
    <x:row r="73">
      <x:c r="A73" s="34"/>
      <x:c r="B73" s="34"/>
      <x:c r="C73" s="78"/>
      <x:c r="D73" s="200" t="str">
        <x:f>IF(B73="","",IFERROR(INDEX('03_PET_LOTES'!$I$5:$I$204,MATCH(B73,'03_PET_LOTES'!$A$5:$A$204,0)),""))</x:f>
      </x:c>
      <x:c r="E73" s="134"/>
      <x:c r="F73" s="208" t="str">
        <x:f>IF(OR(D73="",E73="",D73=0),"",E73/D73)</x:f>
      </x:c>
      <x:c r="G73" s="136"/>
      <x:c r="H73" s="212" t="str">
        <x:f>IF(OR(E73="",G73="",G73=0),"",E73/G73)</x:f>
      </x:c>
      <x:c r="I73" s="34"/>
      <x:c r="J73" s="78"/>
      <x:c r="K73" s="34"/>
      <x:c r="L73" s="34"/>
      <x:c r="M73" s="34"/>
      <x:c r="N73" s="35"/>
    </x:row>
    <x:row r="74">
      <x:c r="A74" s="34"/>
      <x:c r="B74" s="34"/>
      <x:c r="C74" s="78"/>
      <x:c r="D74" s="200" t="str">
        <x:f>IF(B74="","",IFERROR(INDEX('03_PET_LOTES'!$I$5:$I$204,MATCH(B74,'03_PET_LOTES'!$A$5:$A$204,0)),""))</x:f>
      </x:c>
      <x:c r="E74" s="134"/>
      <x:c r="F74" s="208" t="str">
        <x:f>IF(OR(D74="",E74="",D74=0),"",E74/D74)</x:f>
      </x:c>
      <x:c r="G74" s="136"/>
      <x:c r="H74" s="212" t="str">
        <x:f>IF(OR(E74="",G74="",G74=0),"",E74/G74)</x:f>
      </x:c>
      <x:c r="I74" s="34"/>
      <x:c r="J74" s="78"/>
      <x:c r="K74" s="34"/>
      <x:c r="L74" s="34"/>
      <x:c r="M74" s="34"/>
      <x:c r="N74" s="35"/>
    </x:row>
    <x:row r="75">
      <x:c r="A75" s="34"/>
      <x:c r="B75" s="34"/>
      <x:c r="C75" s="78"/>
      <x:c r="D75" s="200" t="str">
        <x:f>IF(B75="","",IFERROR(INDEX('03_PET_LOTES'!$I$5:$I$204,MATCH(B75,'03_PET_LOTES'!$A$5:$A$204,0)),""))</x:f>
      </x:c>
      <x:c r="E75" s="134"/>
      <x:c r="F75" s="208" t="str">
        <x:f>IF(OR(D75="",E75="",D75=0),"",E75/D75)</x:f>
      </x:c>
      <x:c r="G75" s="136"/>
      <x:c r="H75" s="212" t="str">
        <x:f>IF(OR(E75="",G75="",G75=0),"",E75/G75)</x:f>
      </x:c>
      <x:c r="I75" s="34"/>
      <x:c r="J75" s="78"/>
      <x:c r="K75" s="34"/>
      <x:c r="L75" s="34"/>
      <x:c r="M75" s="34"/>
      <x:c r="N75" s="35"/>
    </x:row>
    <x:row r="76">
      <x:c r="A76" s="34"/>
      <x:c r="B76" s="34"/>
      <x:c r="C76" s="78"/>
      <x:c r="D76" s="200" t="str">
        <x:f>IF(B76="","",IFERROR(INDEX('03_PET_LOTES'!$I$5:$I$204,MATCH(B76,'03_PET_LOTES'!$A$5:$A$204,0)),""))</x:f>
      </x:c>
      <x:c r="E76" s="134"/>
      <x:c r="F76" s="208" t="str">
        <x:f>IF(OR(D76="",E76="",D76=0),"",E76/D76)</x:f>
      </x:c>
      <x:c r="G76" s="136"/>
      <x:c r="H76" s="212" t="str">
        <x:f>IF(OR(E76="",G76="",G76=0),"",E76/G76)</x:f>
      </x:c>
      <x:c r="I76" s="34"/>
      <x:c r="J76" s="78"/>
      <x:c r="K76" s="34"/>
      <x:c r="L76" s="34"/>
      <x:c r="M76" s="34"/>
      <x:c r="N76" s="35"/>
    </x:row>
    <x:row r="77">
      <x:c r="A77" s="34"/>
      <x:c r="B77" s="34"/>
      <x:c r="C77" s="78"/>
      <x:c r="D77" s="200" t="str">
        <x:f>IF(B77="","",IFERROR(INDEX('03_PET_LOTES'!$I$5:$I$204,MATCH(B77,'03_PET_LOTES'!$A$5:$A$204,0)),""))</x:f>
      </x:c>
      <x:c r="E77" s="134"/>
      <x:c r="F77" s="208" t="str">
        <x:f>IF(OR(D77="",E77="",D77=0),"",E77/D77)</x:f>
      </x:c>
      <x:c r="G77" s="136"/>
      <x:c r="H77" s="212" t="str">
        <x:f>IF(OR(E77="",G77="",G77=0),"",E77/G77)</x:f>
      </x:c>
      <x:c r="I77" s="34"/>
      <x:c r="J77" s="78"/>
      <x:c r="K77" s="34"/>
      <x:c r="L77" s="34"/>
      <x:c r="M77" s="34"/>
      <x:c r="N77" s="35"/>
    </x:row>
    <x:row r="78">
      <x:c r="A78" s="34"/>
      <x:c r="B78" s="34"/>
      <x:c r="C78" s="78"/>
      <x:c r="D78" s="200" t="str">
        <x:f>IF(B78="","",IFERROR(INDEX('03_PET_LOTES'!$I$5:$I$204,MATCH(B78,'03_PET_LOTES'!$A$5:$A$204,0)),""))</x:f>
      </x:c>
      <x:c r="E78" s="134"/>
      <x:c r="F78" s="208" t="str">
        <x:f>IF(OR(D78="",E78="",D78=0),"",E78/D78)</x:f>
      </x:c>
      <x:c r="G78" s="136"/>
      <x:c r="H78" s="212" t="str">
        <x:f>IF(OR(E78="",G78="",G78=0),"",E78/G78)</x:f>
      </x:c>
      <x:c r="I78" s="34"/>
      <x:c r="J78" s="78"/>
      <x:c r="K78" s="34"/>
      <x:c r="L78" s="34"/>
      <x:c r="M78" s="34"/>
      <x:c r="N78" s="35"/>
    </x:row>
    <x:row r="79">
      <x:c r="A79" s="34"/>
      <x:c r="B79" s="34"/>
      <x:c r="C79" s="78"/>
      <x:c r="D79" s="200" t="str">
        <x:f>IF(B79="","",IFERROR(INDEX('03_PET_LOTES'!$I$5:$I$204,MATCH(B79,'03_PET_LOTES'!$A$5:$A$204,0)),""))</x:f>
      </x:c>
      <x:c r="E79" s="134"/>
      <x:c r="F79" s="208" t="str">
        <x:f>IF(OR(D79="",E79="",D79=0),"",E79/D79)</x:f>
      </x:c>
      <x:c r="G79" s="136"/>
      <x:c r="H79" s="212" t="str">
        <x:f>IF(OR(E79="",G79="",G79=0),"",E79/G79)</x:f>
      </x:c>
      <x:c r="I79" s="34"/>
      <x:c r="J79" s="78"/>
      <x:c r="K79" s="34"/>
      <x:c r="L79" s="34"/>
      <x:c r="M79" s="34"/>
      <x:c r="N79" s="35"/>
    </x:row>
    <x:row r="80">
      <x:c r="A80" s="34"/>
      <x:c r="B80" s="34"/>
      <x:c r="C80" s="78"/>
      <x:c r="D80" s="200" t="str">
        <x:f>IF(B80="","",IFERROR(INDEX('03_PET_LOTES'!$I$5:$I$204,MATCH(B80,'03_PET_LOTES'!$A$5:$A$204,0)),""))</x:f>
      </x:c>
      <x:c r="E80" s="134"/>
      <x:c r="F80" s="208" t="str">
        <x:f>IF(OR(D80="",E80="",D80=0),"",E80/D80)</x:f>
      </x:c>
      <x:c r="G80" s="136"/>
      <x:c r="H80" s="212" t="str">
        <x:f>IF(OR(E80="",G80="",G80=0),"",E80/G80)</x:f>
      </x:c>
      <x:c r="I80" s="34"/>
      <x:c r="J80" s="78"/>
      <x:c r="K80" s="34"/>
      <x:c r="L80" s="34"/>
      <x:c r="M80" s="34"/>
      <x:c r="N80" s="35"/>
    </x:row>
    <x:row r="81">
      <x:c r="A81" s="34"/>
      <x:c r="B81" s="34"/>
      <x:c r="C81" s="78"/>
      <x:c r="D81" s="200" t="str">
        <x:f>IF(B81="","",IFERROR(INDEX('03_PET_LOTES'!$I$5:$I$204,MATCH(B81,'03_PET_LOTES'!$A$5:$A$204,0)),""))</x:f>
      </x:c>
      <x:c r="E81" s="134"/>
      <x:c r="F81" s="208" t="str">
        <x:f>IF(OR(D81="",E81="",D81=0),"",E81/D81)</x:f>
      </x:c>
      <x:c r="G81" s="136"/>
      <x:c r="H81" s="212" t="str">
        <x:f>IF(OR(E81="",G81="",G81=0),"",E81/G81)</x:f>
      </x:c>
      <x:c r="I81" s="34"/>
      <x:c r="J81" s="78"/>
      <x:c r="K81" s="34"/>
      <x:c r="L81" s="34"/>
      <x:c r="M81" s="34"/>
      <x:c r="N81" s="35"/>
    </x:row>
    <x:row r="82">
      <x:c r="A82" s="34"/>
      <x:c r="B82" s="34"/>
      <x:c r="C82" s="78"/>
      <x:c r="D82" s="200" t="str">
        <x:f>IF(B82="","",IFERROR(INDEX('03_PET_LOTES'!$I$5:$I$204,MATCH(B82,'03_PET_LOTES'!$A$5:$A$204,0)),""))</x:f>
      </x:c>
      <x:c r="E82" s="134"/>
      <x:c r="F82" s="208" t="str">
        <x:f>IF(OR(D82="",E82="",D82=0),"",E82/D82)</x:f>
      </x:c>
      <x:c r="G82" s="136"/>
      <x:c r="H82" s="212" t="str">
        <x:f>IF(OR(E82="",G82="",G82=0),"",E82/G82)</x:f>
      </x:c>
      <x:c r="I82" s="34"/>
      <x:c r="J82" s="78"/>
      <x:c r="K82" s="34"/>
      <x:c r="L82" s="34"/>
      <x:c r="M82" s="34"/>
      <x:c r="N82" s="35"/>
    </x:row>
    <x:row r="83">
      <x:c r="A83" s="34"/>
      <x:c r="B83" s="34"/>
      <x:c r="C83" s="78"/>
      <x:c r="D83" s="200" t="str">
        <x:f>IF(B83="","",IFERROR(INDEX('03_PET_LOTES'!$I$5:$I$204,MATCH(B83,'03_PET_LOTES'!$A$5:$A$204,0)),""))</x:f>
      </x:c>
      <x:c r="E83" s="134"/>
      <x:c r="F83" s="208" t="str">
        <x:f>IF(OR(D83="",E83="",D83=0),"",E83/D83)</x:f>
      </x:c>
      <x:c r="G83" s="136"/>
      <x:c r="H83" s="212" t="str">
        <x:f>IF(OR(E83="",G83="",G83=0),"",E83/G83)</x:f>
      </x:c>
      <x:c r="I83" s="34"/>
      <x:c r="J83" s="78"/>
      <x:c r="K83" s="34"/>
      <x:c r="L83" s="34"/>
      <x:c r="M83" s="34"/>
      <x:c r="N83" s="35"/>
    </x:row>
    <x:row r="84">
      <x:c r="A84" s="34"/>
      <x:c r="B84" s="34"/>
      <x:c r="C84" s="78"/>
      <x:c r="D84" s="200" t="str">
        <x:f>IF(B84="","",IFERROR(INDEX('03_PET_LOTES'!$I$5:$I$204,MATCH(B84,'03_PET_LOTES'!$A$5:$A$204,0)),""))</x:f>
      </x:c>
      <x:c r="E84" s="134"/>
      <x:c r="F84" s="208" t="str">
        <x:f>IF(OR(D84="",E84="",D84=0),"",E84/D84)</x:f>
      </x:c>
      <x:c r="G84" s="136"/>
      <x:c r="H84" s="212" t="str">
        <x:f>IF(OR(E84="",G84="",G84=0),"",E84/G84)</x:f>
      </x:c>
      <x:c r="I84" s="34"/>
      <x:c r="J84" s="78"/>
      <x:c r="K84" s="34"/>
      <x:c r="L84" s="34"/>
      <x:c r="M84" s="34"/>
      <x:c r="N84" s="35"/>
    </x:row>
    <x:row r="85">
      <x:c r="A85" s="34"/>
      <x:c r="B85" s="34"/>
      <x:c r="C85" s="78"/>
      <x:c r="D85" s="200" t="str">
        <x:f>IF(B85="","",IFERROR(INDEX('03_PET_LOTES'!$I$5:$I$204,MATCH(B85,'03_PET_LOTES'!$A$5:$A$204,0)),""))</x:f>
      </x:c>
      <x:c r="E85" s="134"/>
      <x:c r="F85" s="208" t="str">
        <x:f>IF(OR(D85="",E85="",D85=0),"",E85/D85)</x:f>
      </x:c>
      <x:c r="G85" s="136"/>
      <x:c r="H85" s="212" t="str">
        <x:f>IF(OR(E85="",G85="",G85=0),"",E85/G85)</x:f>
      </x:c>
      <x:c r="I85" s="34"/>
      <x:c r="J85" s="78"/>
      <x:c r="K85" s="34"/>
      <x:c r="L85" s="34"/>
      <x:c r="M85" s="34"/>
      <x:c r="N85" s="35"/>
    </x:row>
    <x:row r="86">
      <x:c r="A86" s="34"/>
      <x:c r="B86" s="34"/>
      <x:c r="C86" s="78"/>
      <x:c r="D86" s="200" t="str">
        <x:f>IF(B86="","",IFERROR(INDEX('03_PET_LOTES'!$I$5:$I$204,MATCH(B86,'03_PET_LOTES'!$A$5:$A$204,0)),""))</x:f>
      </x:c>
      <x:c r="E86" s="134"/>
      <x:c r="F86" s="208" t="str">
        <x:f>IF(OR(D86="",E86="",D86=0),"",E86/D86)</x:f>
      </x:c>
      <x:c r="G86" s="136"/>
      <x:c r="H86" s="212" t="str">
        <x:f>IF(OR(E86="",G86="",G86=0),"",E86/G86)</x:f>
      </x:c>
      <x:c r="I86" s="34"/>
      <x:c r="J86" s="78"/>
      <x:c r="K86" s="34"/>
      <x:c r="L86" s="34"/>
      <x:c r="M86" s="34"/>
      <x:c r="N86" s="35"/>
    </x:row>
    <x:row r="87">
      <x:c r="A87" s="34"/>
      <x:c r="B87" s="34"/>
      <x:c r="C87" s="78"/>
      <x:c r="D87" s="200" t="str">
        <x:f>IF(B87="","",IFERROR(INDEX('03_PET_LOTES'!$I$5:$I$204,MATCH(B87,'03_PET_LOTES'!$A$5:$A$204,0)),""))</x:f>
      </x:c>
      <x:c r="E87" s="134"/>
      <x:c r="F87" s="208" t="str">
        <x:f>IF(OR(D87="",E87="",D87=0),"",E87/D87)</x:f>
      </x:c>
      <x:c r="G87" s="136"/>
      <x:c r="H87" s="212" t="str">
        <x:f>IF(OR(E87="",G87="",G87=0),"",E87/G87)</x:f>
      </x:c>
      <x:c r="I87" s="34"/>
      <x:c r="J87" s="78"/>
      <x:c r="K87" s="34"/>
      <x:c r="L87" s="34"/>
      <x:c r="M87" s="34"/>
      <x:c r="N87" s="35"/>
    </x:row>
    <x:row r="88">
      <x:c r="A88" s="34"/>
      <x:c r="B88" s="34"/>
      <x:c r="C88" s="78"/>
      <x:c r="D88" s="200" t="str">
        <x:f>IF(B88="","",IFERROR(INDEX('03_PET_LOTES'!$I$5:$I$204,MATCH(B88,'03_PET_LOTES'!$A$5:$A$204,0)),""))</x:f>
      </x:c>
      <x:c r="E88" s="134"/>
      <x:c r="F88" s="208" t="str">
        <x:f>IF(OR(D88="",E88="",D88=0),"",E88/D88)</x:f>
      </x:c>
      <x:c r="G88" s="136"/>
      <x:c r="H88" s="212" t="str">
        <x:f>IF(OR(E88="",G88="",G88=0),"",E88/G88)</x:f>
      </x:c>
      <x:c r="I88" s="34"/>
      <x:c r="J88" s="78"/>
      <x:c r="K88" s="34"/>
      <x:c r="L88" s="34"/>
      <x:c r="M88" s="34"/>
      <x:c r="N88" s="35"/>
    </x:row>
    <x:row r="89">
      <x:c r="A89" s="34"/>
      <x:c r="B89" s="34"/>
      <x:c r="C89" s="78"/>
      <x:c r="D89" s="200" t="str">
        <x:f>IF(B89="","",IFERROR(INDEX('03_PET_LOTES'!$I$5:$I$204,MATCH(B89,'03_PET_LOTES'!$A$5:$A$204,0)),""))</x:f>
      </x:c>
      <x:c r="E89" s="134"/>
      <x:c r="F89" s="208" t="str">
        <x:f>IF(OR(D89="",E89="",D89=0),"",E89/D89)</x:f>
      </x:c>
      <x:c r="G89" s="136"/>
      <x:c r="H89" s="212" t="str">
        <x:f>IF(OR(E89="",G89="",G89=0),"",E89/G89)</x:f>
      </x:c>
      <x:c r="I89" s="34"/>
      <x:c r="J89" s="78"/>
      <x:c r="K89" s="34"/>
      <x:c r="L89" s="34"/>
      <x:c r="M89" s="34"/>
      <x:c r="N89" s="35"/>
    </x:row>
    <x:row r="90">
      <x:c r="A90" s="34"/>
      <x:c r="B90" s="34"/>
      <x:c r="C90" s="78"/>
      <x:c r="D90" s="200" t="str">
        <x:f>IF(B90="","",IFERROR(INDEX('03_PET_LOTES'!$I$5:$I$204,MATCH(B90,'03_PET_LOTES'!$A$5:$A$204,0)),""))</x:f>
      </x:c>
      <x:c r="E90" s="134"/>
      <x:c r="F90" s="208" t="str">
        <x:f>IF(OR(D90="",E90="",D90=0),"",E90/D90)</x:f>
      </x:c>
      <x:c r="G90" s="136"/>
      <x:c r="H90" s="212" t="str">
        <x:f>IF(OR(E90="",G90="",G90=0),"",E90/G90)</x:f>
      </x:c>
      <x:c r="I90" s="34"/>
      <x:c r="J90" s="78"/>
      <x:c r="K90" s="34"/>
      <x:c r="L90" s="34"/>
      <x:c r="M90" s="34"/>
      <x:c r="N90" s="35"/>
    </x:row>
    <x:row r="91">
      <x:c r="A91" s="34"/>
      <x:c r="B91" s="34"/>
      <x:c r="C91" s="78"/>
      <x:c r="D91" s="200" t="str">
        <x:f>IF(B91="","",IFERROR(INDEX('03_PET_LOTES'!$I$5:$I$204,MATCH(B91,'03_PET_LOTES'!$A$5:$A$204,0)),""))</x:f>
      </x:c>
      <x:c r="E91" s="134"/>
      <x:c r="F91" s="208" t="str">
        <x:f>IF(OR(D91="",E91="",D91=0),"",E91/D91)</x:f>
      </x:c>
      <x:c r="G91" s="136"/>
      <x:c r="H91" s="212" t="str">
        <x:f>IF(OR(E91="",G91="",G91=0),"",E91/G91)</x:f>
      </x:c>
      <x:c r="I91" s="34"/>
      <x:c r="J91" s="78"/>
      <x:c r="K91" s="34"/>
      <x:c r="L91" s="34"/>
      <x:c r="M91" s="34"/>
      <x:c r="N91" s="35"/>
    </x:row>
    <x:row r="92">
      <x:c r="A92" s="34"/>
      <x:c r="B92" s="34"/>
      <x:c r="C92" s="78"/>
      <x:c r="D92" s="200" t="str">
        <x:f>IF(B92="","",IFERROR(INDEX('03_PET_LOTES'!$I$5:$I$204,MATCH(B92,'03_PET_LOTES'!$A$5:$A$204,0)),""))</x:f>
      </x:c>
      <x:c r="E92" s="134"/>
      <x:c r="F92" s="208" t="str">
        <x:f>IF(OR(D92="",E92="",D92=0),"",E92/D92)</x:f>
      </x:c>
      <x:c r="G92" s="136"/>
      <x:c r="H92" s="212" t="str">
        <x:f>IF(OR(E92="",G92="",G92=0),"",E92/G92)</x:f>
      </x:c>
      <x:c r="I92" s="34"/>
      <x:c r="J92" s="78"/>
      <x:c r="K92" s="34"/>
      <x:c r="L92" s="34"/>
      <x:c r="M92" s="34"/>
      <x:c r="N92" s="35"/>
    </x:row>
    <x:row r="93">
      <x:c r="A93" s="34"/>
      <x:c r="B93" s="34"/>
      <x:c r="C93" s="78"/>
      <x:c r="D93" s="200" t="str">
        <x:f>IF(B93="","",IFERROR(INDEX('03_PET_LOTES'!$I$5:$I$204,MATCH(B93,'03_PET_LOTES'!$A$5:$A$204,0)),""))</x:f>
      </x:c>
      <x:c r="E93" s="134"/>
      <x:c r="F93" s="208" t="str">
        <x:f>IF(OR(D93="",E93="",D93=0),"",E93/D93)</x:f>
      </x:c>
      <x:c r="G93" s="136"/>
      <x:c r="H93" s="212" t="str">
        <x:f>IF(OR(E93="",G93="",G93=0),"",E93/G93)</x:f>
      </x:c>
      <x:c r="I93" s="34"/>
      <x:c r="J93" s="78"/>
      <x:c r="K93" s="34"/>
      <x:c r="L93" s="34"/>
      <x:c r="M93" s="34"/>
      <x:c r="N93" s="35"/>
    </x:row>
    <x:row r="94">
      <x:c r="A94" s="34"/>
      <x:c r="B94" s="34"/>
      <x:c r="C94" s="78"/>
      <x:c r="D94" s="200" t="str">
        <x:f>IF(B94="","",IFERROR(INDEX('03_PET_LOTES'!$I$5:$I$204,MATCH(B94,'03_PET_LOTES'!$A$5:$A$204,0)),""))</x:f>
      </x:c>
      <x:c r="E94" s="134"/>
      <x:c r="F94" s="208" t="str">
        <x:f>IF(OR(D94="",E94="",D94=0),"",E94/D94)</x:f>
      </x:c>
      <x:c r="G94" s="136"/>
      <x:c r="H94" s="212" t="str">
        <x:f>IF(OR(E94="",G94="",G94=0),"",E94/G94)</x:f>
      </x:c>
      <x:c r="I94" s="34"/>
      <x:c r="J94" s="78"/>
      <x:c r="K94" s="34"/>
      <x:c r="L94" s="34"/>
      <x:c r="M94" s="34"/>
      <x:c r="N94" s="35"/>
    </x:row>
    <x:row r="95">
      <x:c r="A95" s="34"/>
      <x:c r="B95" s="34"/>
      <x:c r="C95" s="78"/>
      <x:c r="D95" s="200" t="str">
        <x:f>IF(B95="","",IFERROR(INDEX('03_PET_LOTES'!$I$5:$I$204,MATCH(B95,'03_PET_LOTES'!$A$5:$A$204,0)),""))</x:f>
      </x:c>
      <x:c r="E95" s="134"/>
      <x:c r="F95" s="208" t="str">
        <x:f>IF(OR(D95="",E95="",D95=0),"",E95/D95)</x:f>
      </x:c>
      <x:c r="G95" s="136"/>
      <x:c r="H95" s="212" t="str">
        <x:f>IF(OR(E95="",G95="",G95=0),"",E95/G95)</x:f>
      </x:c>
      <x:c r="I95" s="34"/>
      <x:c r="J95" s="78"/>
      <x:c r="K95" s="34"/>
      <x:c r="L95" s="34"/>
      <x:c r="M95" s="34"/>
      <x:c r="N95" s="35"/>
    </x:row>
    <x:row r="96">
      <x:c r="A96" s="34"/>
      <x:c r="B96" s="34"/>
      <x:c r="C96" s="78"/>
      <x:c r="D96" s="200" t="str">
        <x:f>IF(B96="","",IFERROR(INDEX('03_PET_LOTES'!$I$5:$I$204,MATCH(B96,'03_PET_LOTES'!$A$5:$A$204,0)),""))</x:f>
      </x:c>
      <x:c r="E96" s="134"/>
      <x:c r="F96" s="208" t="str">
        <x:f>IF(OR(D96="",E96="",D96=0),"",E96/D96)</x:f>
      </x:c>
      <x:c r="G96" s="136"/>
      <x:c r="H96" s="212" t="str">
        <x:f>IF(OR(E96="",G96="",G96=0),"",E96/G96)</x:f>
      </x:c>
      <x:c r="I96" s="34"/>
      <x:c r="J96" s="78"/>
      <x:c r="K96" s="34"/>
      <x:c r="L96" s="34"/>
      <x:c r="M96" s="34"/>
      <x:c r="N96" s="35"/>
    </x:row>
    <x:row r="97">
      <x:c r="A97" s="34"/>
      <x:c r="B97" s="34"/>
      <x:c r="C97" s="78"/>
      <x:c r="D97" s="200" t="str">
        <x:f>IF(B97="","",IFERROR(INDEX('03_PET_LOTES'!$I$5:$I$204,MATCH(B97,'03_PET_LOTES'!$A$5:$A$204,0)),""))</x:f>
      </x:c>
      <x:c r="E97" s="134"/>
      <x:c r="F97" s="208" t="str">
        <x:f>IF(OR(D97="",E97="",D97=0),"",E97/D97)</x:f>
      </x:c>
      <x:c r="G97" s="136"/>
      <x:c r="H97" s="212" t="str">
        <x:f>IF(OR(E97="",G97="",G97=0),"",E97/G97)</x:f>
      </x:c>
      <x:c r="I97" s="34"/>
      <x:c r="J97" s="78"/>
      <x:c r="K97" s="34"/>
      <x:c r="L97" s="34"/>
      <x:c r="M97" s="34"/>
      <x:c r="N97" s="35"/>
    </x:row>
    <x:row r="98">
      <x:c r="A98" s="34"/>
      <x:c r="B98" s="34"/>
      <x:c r="C98" s="78"/>
      <x:c r="D98" s="200" t="str">
        <x:f>IF(B98="","",IFERROR(INDEX('03_PET_LOTES'!$I$5:$I$204,MATCH(B98,'03_PET_LOTES'!$A$5:$A$204,0)),""))</x:f>
      </x:c>
      <x:c r="E98" s="134"/>
      <x:c r="F98" s="208" t="str">
        <x:f>IF(OR(D98="",E98="",D98=0),"",E98/D98)</x:f>
      </x:c>
      <x:c r="G98" s="136"/>
      <x:c r="H98" s="212" t="str">
        <x:f>IF(OR(E98="",G98="",G98=0),"",E98/G98)</x:f>
      </x:c>
      <x:c r="I98" s="34"/>
      <x:c r="J98" s="78"/>
      <x:c r="K98" s="34"/>
      <x:c r="L98" s="34"/>
      <x:c r="M98" s="34"/>
      <x:c r="N98" s="35"/>
    </x:row>
    <x:row r="99">
      <x:c r="A99" s="34"/>
      <x:c r="B99" s="34"/>
      <x:c r="C99" s="78"/>
      <x:c r="D99" s="200" t="str">
        <x:f>IF(B99="","",IFERROR(INDEX('03_PET_LOTES'!$I$5:$I$204,MATCH(B99,'03_PET_LOTES'!$A$5:$A$204,0)),""))</x:f>
      </x:c>
      <x:c r="E99" s="134"/>
      <x:c r="F99" s="208" t="str">
        <x:f>IF(OR(D99="",E99="",D99=0),"",E99/D99)</x:f>
      </x:c>
      <x:c r="G99" s="136"/>
      <x:c r="H99" s="212" t="str">
        <x:f>IF(OR(E99="",G99="",G99=0),"",E99/G99)</x:f>
      </x:c>
      <x:c r="I99" s="34"/>
      <x:c r="J99" s="78"/>
      <x:c r="K99" s="34"/>
      <x:c r="L99" s="34"/>
      <x:c r="M99" s="34"/>
      <x:c r="N99" s="35"/>
    </x:row>
    <x:row r="100">
      <x:c r="A100" s="34"/>
      <x:c r="B100" s="34"/>
      <x:c r="C100" s="78"/>
      <x:c r="D100" s="200" t="str">
        <x:f>IF(B100="","",IFERROR(INDEX('03_PET_LOTES'!$I$5:$I$204,MATCH(B100,'03_PET_LOTES'!$A$5:$A$204,0)),""))</x:f>
      </x:c>
      <x:c r="E100" s="134"/>
      <x:c r="F100" s="208" t="str">
        <x:f>IF(OR(D100="",E100="",D100=0),"",E100/D100)</x:f>
      </x:c>
      <x:c r="G100" s="136"/>
      <x:c r="H100" s="212" t="str">
        <x:f>IF(OR(E100="",G100="",G100=0),"",E100/G100)</x:f>
      </x:c>
      <x:c r="I100" s="34"/>
      <x:c r="J100" s="78"/>
      <x:c r="K100" s="34"/>
      <x:c r="L100" s="34"/>
      <x:c r="M100" s="34"/>
      <x:c r="N100" s="35"/>
    </x:row>
    <x:row r="101">
      <x:c r="A101" s="34"/>
      <x:c r="B101" s="34"/>
      <x:c r="C101" s="78"/>
      <x:c r="D101" s="200" t="str">
        <x:f>IF(B101="","",IFERROR(INDEX('03_PET_LOTES'!$I$5:$I$204,MATCH(B101,'03_PET_LOTES'!$A$5:$A$204,0)),""))</x:f>
      </x:c>
      <x:c r="E101" s="134"/>
      <x:c r="F101" s="208" t="str">
        <x:f>IF(OR(D101="",E101="",D101=0),"",E101/D101)</x:f>
      </x:c>
      <x:c r="G101" s="136"/>
      <x:c r="H101" s="212" t="str">
        <x:f>IF(OR(E101="",G101="",G101=0),"",E101/G101)</x:f>
      </x:c>
      <x:c r="I101" s="34"/>
      <x:c r="J101" s="78"/>
      <x:c r="K101" s="34"/>
      <x:c r="L101" s="34"/>
      <x:c r="M101" s="34"/>
      <x:c r="N101" s="35"/>
    </x:row>
    <x:row r="102">
      <x:c r="A102" s="34"/>
      <x:c r="B102" s="34"/>
      <x:c r="C102" s="78"/>
      <x:c r="D102" s="200" t="str">
        <x:f>IF(B102="","",IFERROR(INDEX('03_PET_LOTES'!$I$5:$I$204,MATCH(B102,'03_PET_LOTES'!$A$5:$A$204,0)),""))</x:f>
      </x:c>
      <x:c r="E102" s="134"/>
      <x:c r="F102" s="208" t="str">
        <x:f>IF(OR(D102="",E102="",D102=0),"",E102/D102)</x:f>
      </x:c>
      <x:c r="G102" s="136"/>
      <x:c r="H102" s="212" t="str">
        <x:f>IF(OR(E102="",G102="",G102=0),"",E102/G102)</x:f>
      </x:c>
      <x:c r="I102" s="34"/>
      <x:c r="J102" s="78"/>
      <x:c r="K102" s="34"/>
      <x:c r="L102" s="34"/>
      <x:c r="M102" s="34"/>
      <x:c r="N102" s="35"/>
    </x:row>
    <x:row r="103">
      <x:c r="A103" s="34"/>
      <x:c r="B103" s="34"/>
      <x:c r="C103" s="78"/>
      <x:c r="D103" s="200" t="str">
        <x:f>IF(B103="","",IFERROR(INDEX('03_PET_LOTES'!$I$5:$I$204,MATCH(B103,'03_PET_LOTES'!$A$5:$A$204,0)),""))</x:f>
      </x:c>
      <x:c r="E103" s="134"/>
      <x:c r="F103" s="208" t="str">
        <x:f>IF(OR(D103="",E103="",D103=0),"",E103/D103)</x:f>
      </x:c>
      <x:c r="G103" s="136"/>
      <x:c r="H103" s="212" t="str">
        <x:f>IF(OR(E103="",G103="",G103=0),"",E103/G103)</x:f>
      </x:c>
      <x:c r="I103" s="34"/>
      <x:c r="J103" s="78"/>
      <x:c r="K103" s="34"/>
      <x:c r="L103" s="34"/>
      <x:c r="M103" s="34"/>
      <x:c r="N103" s="35"/>
    </x:row>
    <x:row r="104">
      <x:c r="A104" s="34"/>
      <x:c r="B104" s="34"/>
      <x:c r="C104" s="78"/>
      <x:c r="D104" s="200" t="str">
        <x:f>IF(B104="","",IFERROR(INDEX('03_PET_LOTES'!$I$5:$I$204,MATCH(B104,'03_PET_LOTES'!$A$5:$A$204,0)),""))</x:f>
      </x:c>
      <x:c r="E104" s="134"/>
      <x:c r="F104" s="208" t="str">
        <x:f>IF(OR(D104="",E104="",D104=0),"",E104/D104)</x:f>
      </x:c>
      <x:c r="G104" s="136"/>
      <x:c r="H104" s="212" t="str">
        <x:f>IF(OR(E104="",G104="",G104=0),"",E104/G104)</x:f>
      </x:c>
      <x:c r="I104" s="34"/>
      <x:c r="J104" s="78"/>
      <x:c r="K104" s="34"/>
      <x:c r="L104" s="34"/>
      <x:c r="M104" s="34"/>
      <x:c r="N104" s="35"/>
    </x:row>
    <x:row r="105">
      <x:c r="A105" s="34"/>
      <x:c r="B105" s="34"/>
      <x:c r="C105" s="78"/>
      <x:c r="D105" s="200" t="str">
        <x:f>IF(B105="","",IFERROR(INDEX('03_PET_LOTES'!$I$5:$I$204,MATCH(B105,'03_PET_LOTES'!$A$5:$A$204,0)),""))</x:f>
      </x:c>
      <x:c r="E105" s="134"/>
      <x:c r="F105" s="208" t="str">
        <x:f>IF(OR(D105="",E105="",D105=0),"",E105/D105)</x:f>
      </x:c>
      <x:c r="G105" s="136"/>
      <x:c r="H105" s="212" t="str">
        <x:f>IF(OR(E105="",G105="",G105=0),"",E105/G105)</x:f>
      </x:c>
      <x:c r="I105" s="34"/>
      <x:c r="J105" s="78"/>
      <x:c r="K105" s="34"/>
      <x:c r="L105" s="34"/>
      <x:c r="M105" s="34"/>
      <x:c r="N105" s="35"/>
    </x:row>
    <x:row r="106">
      <x:c r="A106" s="34"/>
      <x:c r="B106" s="34"/>
      <x:c r="C106" s="78"/>
      <x:c r="D106" s="200" t="str">
        <x:f>IF(B106="","",IFERROR(INDEX('03_PET_LOTES'!$I$5:$I$204,MATCH(B106,'03_PET_LOTES'!$A$5:$A$204,0)),""))</x:f>
      </x:c>
      <x:c r="E106" s="134"/>
      <x:c r="F106" s="208" t="str">
        <x:f>IF(OR(D106="",E106="",D106=0),"",E106/D106)</x:f>
      </x:c>
      <x:c r="G106" s="136"/>
      <x:c r="H106" s="212" t="str">
        <x:f>IF(OR(E106="",G106="",G106=0),"",E106/G106)</x:f>
      </x:c>
      <x:c r="I106" s="34"/>
      <x:c r="J106" s="78"/>
      <x:c r="K106" s="34"/>
      <x:c r="L106" s="34"/>
      <x:c r="M106" s="34"/>
      <x:c r="N106" s="35"/>
    </x:row>
    <x:row r="107">
      <x:c r="A107" s="34"/>
      <x:c r="B107" s="34"/>
      <x:c r="C107" s="78"/>
      <x:c r="D107" s="200" t="str">
        <x:f>IF(B107="","",IFERROR(INDEX('03_PET_LOTES'!$I$5:$I$204,MATCH(B107,'03_PET_LOTES'!$A$5:$A$204,0)),""))</x:f>
      </x:c>
      <x:c r="E107" s="134"/>
      <x:c r="F107" s="208" t="str">
        <x:f>IF(OR(D107="",E107="",D107=0),"",E107/D107)</x:f>
      </x:c>
      <x:c r="G107" s="136"/>
      <x:c r="H107" s="212" t="str">
        <x:f>IF(OR(E107="",G107="",G107=0),"",E107/G107)</x:f>
      </x:c>
      <x:c r="I107" s="34"/>
      <x:c r="J107" s="78"/>
      <x:c r="K107" s="34"/>
      <x:c r="L107" s="34"/>
      <x:c r="M107" s="34"/>
      <x:c r="N107" s="35"/>
    </x:row>
    <x:row r="108">
      <x:c r="A108" s="34"/>
      <x:c r="B108" s="34"/>
      <x:c r="C108" s="78"/>
      <x:c r="D108" s="200" t="str">
        <x:f>IF(B108="","",IFERROR(INDEX('03_PET_LOTES'!$I$5:$I$204,MATCH(B108,'03_PET_LOTES'!$A$5:$A$204,0)),""))</x:f>
      </x:c>
      <x:c r="E108" s="134"/>
      <x:c r="F108" s="208" t="str">
        <x:f>IF(OR(D108="",E108="",D108=0),"",E108/D108)</x:f>
      </x:c>
      <x:c r="G108" s="136"/>
      <x:c r="H108" s="212" t="str">
        <x:f>IF(OR(E108="",G108="",G108=0),"",E108/G108)</x:f>
      </x:c>
      <x:c r="I108" s="34"/>
      <x:c r="J108" s="78"/>
      <x:c r="K108" s="34"/>
      <x:c r="L108" s="34"/>
      <x:c r="M108" s="34"/>
      <x:c r="N108" s="35"/>
    </x:row>
    <x:row r="109">
      <x:c r="A109" s="34"/>
      <x:c r="B109" s="34"/>
      <x:c r="C109" s="78"/>
      <x:c r="D109" s="200" t="str">
        <x:f>IF(B109="","",IFERROR(INDEX('03_PET_LOTES'!$I$5:$I$204,MATCH(B109,'03_PET_LOTES'!$A$5:$A$204,0)),""))</x:f>
      </x:c>
      <x:c r="E109" s="134"/>
      <x:c r="F109" s="208" t="str">
        <x:f>IF(OR(D109="",E109="",D109=0),"",E109/D109)</x:f>
      </x:c>
      <x:c r="G109" s="136"/>
      <x:c r="H109" s="212" t="str">
        <x:f>IF(OR(E109="",G109="",G109=0),"",E109/G109)</x:f>
      </x:c>
      <x:c r="I109" s="34"/>
      <x:c r="J109" s="78"/>
      <x:c r="K109" s="34"/>
      <x:c r="L109" s="34"/>
      <x:c r="M109" s="34"/>
      <x:c r="N109" s="35"/>
    </x:row>
    <x:row r="110">
      <x:c r="A110" s="34"/>
      <x:c r="B110" s="34"/>
      <x:c r="C110" s="78"/>
      <x:c r="D110" s="200" t="str">
        <x:f>IF(B110="","",IFERROR(INDEX('03_PET_LOTES'!$I$5:$I$204,MATCH(B110,'03_PET_LOTES'!$A$5:$A$204,0)),""))</x:f>
      </x:c>
      <x:c r="E110" s="134"/>
      <x:c r="F110" s="208" t="str">
        <x:f>IF(OR(D110="",E110="",D110=0),"",E110/D110)</x:f>
      </x:c>
      <x:c r="G110" s="136"/>
      <x:c r="H110" s="212" t="str">
        <x:f>IF(OR(E110="",G110="",G110=0),"",E110/G110)</x:f>
      </x:c>
      <x:c r="I110" s="34"/>
      <x:c r="J110" s="78"/>
      <x:c r="K110" s="34"/>
      <x:c r="L110" s="34"/>
      <x:c r="M110" s="34"/>
      <x:c r="N110" s="35"/>
    </x:row>
    <x:row r="111">
      <x:c r="A111" s="34"/>
      <x:c r="B111" s="34"/>
      <x:c r="C111" s="78"/>
      <x:c r="D111" s="200" t="str">
        <x:f>IF(B111="","",IFERROR(INDEX('03_PET_LOTES'!$I$5:$I$204,MATCH(B111,'03_PET_LOTES'!$A$5:$A$204,0)),""))</x:f>
      </x:c>
      <x:c r="E111" s="134"/>
      <x:c r="F111" s="208" t="str">
        <x:f>IF(OR(D111="",E111="",D111=0),"",E111/D111)</x:f>
      </x:c>
      <x:c r="G111" s="136"/>
      <x:c r="H111" s="212" t="str">
        <x:f>IF(OR(E111="",G111="",G111=0),"",E111/G111)</x:f>
      </x:c>
      <x:c r="I111" s="34"/>
      <x:c r="J111" s="78"/>
      <x:c r="K111" s="34"/>
      <x:c r="L111" s="34"/>
      <x:c r="M111" s="34"/>
      <x:c r="N111" s="35"/>
    </x:row>
    <x:row r="112">
      <x:c r="A112" s="34"/>
      <x:c r="B112" s="34"/>
      <x:c r="C112" s="78"/>
      <x:c r="D112" s="200" t="str">
        <x:f>IF(B112="","",IFERROR(INDEX('03_PET_LOTES'!$I$5:$I$204,MATCH(B112,'03_PET_LOTES'!$A$5:$A$204,0)),""))</x:f>
      </x:c>
      <x:c r="E112" s="134"/>
      <x:c r="F112" s="208" t="str">
        <x:f>IF(OR(D112="",E112="",D112=0),"",E112/D112)</x:f>
      </x:c>
      <x:c r="G112" s="136"/>
      <x:c r="H112" s="212" t="str">
        <x:f>IF(OR(E112="",G112="",G112=0),"",E112/G112)</x:f>
      </x:c>
      <x:c r="I112" s="34"/>
      <x:c r="J112" s="78"/>
      <x:c r="K112" s="34"/>
      <x:c r="L112" s="34"/>
      <x:c r="M112" s="34"/>
      <x:c r="N112" s="35"/>
    </x:row>
    <x:row r="113">
      <x:c r="A113" s="34"/>
      <x:c r="B113" s="34"/>
      <x:c r="C113" s="78"/>
      <x:c r="D113" s="200" t="str">
        <x:f>IF(B113="","",IFERROR(INDEX('03_PET_LOTES'!$I$5:$I$204,MATCH(B113,'03_PET_LOTES'!$A$5:$A$204,0)),""))</x:f>
      </x:c>
      <x:c r="E113" s="134"/>
      <x:c r="F113" s="208" t="str">
        <x:f>IF(OR(D113="",E113="",D113=0),"",E113/D113)</x:f>
      </x:c>
      <x:c r="G113" s="136"/>
      <x:c r="H113" s="212" t="str">
        <x:f>IF(OR(E113="",G113="",G113=0),"",E113/G113)</x:f>
      </x:c>
      <x:c r="I113" s="34"/>
      <x:c r="J113" s="78"/>
      <x:c r="K113" s="34"/>
      <x:c r="L113" s="34"/>
      <x:c r="M113" s="34"/>
      <x:c r="N113" s="35"/>
    </x:row>
    <x:row r="114">
      <x:c r="A114" s="34"/>
      <x:c r="B114" s="34"/>
      <x:c r="C114" s="78"/>
      <x:c r="D114" s="200" t="str">
        <x:f>IF(B114="","",IFERROR(INDEX('03_PET_LOTES'!$I$5:$I$204,MATCH(B114,'03_PET_LOTES'!$A$5:$A$204,0)),""))</x:f>
      </x:c>
      <x:c r="E114" s="134"/>
      <x:c r="F114" s="208" t="str">
        <x:f>IF(OR(D114="",E114="",D114=0),"",E114/D114)</x:f>
      </x:c>
      <x:c r="G114" s="136"/>
      <x:c r="H114" s="212" t="str">
        <x:f>IF(OR(E114="",G114="",G114=0),"",E114/G114)</x:f>
      </x:c>
      <x:c r="I114" s="34"/>
      <x:c r="J114" s="78"/>
      <x:c r="K114" s="34"/>
      <x:c r="L114" s="34"/>
      <x:c r="M114" s="34"/>
      <x:c r="N114" s="35"/>
    </x:row>
    <x:row r="115">
      <x:c r="A115" s="34"/>
      <x:c r="B115" s="34"/>
      <x:c r="C115" s="78"/>
      <x:c r="D115" s="200" t="str">
        <x:f>IF(B115="","",IFERROR(INDEX('03_PET_LOTES'!$I$5:$I$204,MATCH(B115,'03_PET_LOTES'!$A$5:$A$204,0)),""))</x:f>
      </x:c>
      <x:c r="E115" s="134"/>
      <x:c r="F115" s="208" t="str">
        <x:f>IF(OR(D115="",E115="",D115=0),"",E115/D115)</x:f>
      </x:c>
      <x:c r="G115" s="136"/>
      <x:c r="H115" s="212" t="str">
        <x:f>IF(OR(E115="",G115="",G115=0),"",E115/G115)</x:f>
      </x:c>
      <x:c r="I115" s="34"/>
      <x:c r="J115" s="78"/>
      <x:c r="K115" s="34"/>
      <x:c r="L115" s="34"/>
      <x:c r="M115" s="34"/>
      <x:c r="N115" s="35"/>
    </x:row>
    <x:row r="116">
      <x:c r="A116" s="34"/>
      <x:c r="B116" s="34"/>
      <x:c r="C116" s="78"/>
      <x:c r="D116" s="200" t="str">
        <x:f>IF(B116="","",IFERROR(INDEX('03_PET_LOTES'!$I$5:$I$204,MATCH(B116,'03_PET_LOTES'!$A$5:$A$204,0)),""))</x:f>
      </x:c>
      <x:c r="E116" s="134"/>
      <x:c r="F116" s="208" t="str">
        <x:f>IF(OR(D116="",E116="",D116=0),"",E116/D116)</x:f>
      </x:c>
      <x:c r="G116" s="136"/>
      <x:c r="H116" s="212" t="str">
        <x:f>IF(OR(E116="",G116="",G116=0),"",E116/G116)</x:f>
      </x:c>
      <x:c r="I116" s="34"/>
      <x:c r="J116" s="78"/>
      <x:c r="K116" s="34"/>
      <x:c r="L116" s="34"/>
      <x:c r="M116" s="34"/>
      <x:c r="N116" s="35"/>
    </x:row>
    <x:row r="117">
      <x:c r="A117" s="34"/>
      <x:c r="B117" s="34"/>
      <x:c r="C117" s="78"/>
      <x:c r="D117" s="200" t="str">
        <x:f>IF(B117="","",IFERROR(INDEX('03_PET_LOTES'!$I$5:$I$204,MATCH(B117,'03_PET_LOTES'!$A$5:$A$204,0)),""))</x:f>
      </x:c>
      <x:c r="E117" s="134"/>
      <x:c r="F117" s="208" t="str">
        <x:f>IF(OR(D117="",E117="",D117=0),"",E117/D117)</x:f>
      </x:c>
      <x:c r="G117" s="136"/>
      <x:c r="H117" s="212" t="str">
        <x:f>IF(OR(E117="",G117="",G117=0),"",E117/G117)</x:f>
      </x:c>
      <x:c r="I117" s="34"/>
      <x:c r="J117" s="78"/>
      <x:c r="K117" s="34"/>
      <x:c r="L117" s="34"/>
      <x:c r="M117" s="34"/>
      <x:c r="N117" s="35"/>
    </x:row>
    <x:row r="118">
      <x:c r="A118" s="34"/>
      <x:c r="B118" s="34"/>
      <x:c r="C118" s="78"/>
      <x:c r="D118" s="200" t="str">
        <x:f>IF(B118="","",IFERROR(INDEX('03_PET_LOTES'!$I$5:$I$204,MATCH(B118,'03_PET_LOTES'!$A$5:$A$204,0)),""))</x:f>
      </x:c>
      <x:c r="E118" s="134"/>
      <x:c r="F118" s="208" t="str">
        <x:f>IF(OR(D118="",E118="",D118=0),"",E118/D118)</x:f>
      </x:c>
      <x:c r="G118" s="136"/>
      <x:c r="H118" s="212" t="str">
        <x:f>IF(OR(E118="",G118="",G118=0),"",E118/G118)</x:f>
      </x:c>
      <x:c r="I118" s="34"/>
      <x:c r="J118" s="78"/>
      <x:c r="K118" s="34"/>
      <x:c r="L118" s="34"/>
      <x:c r="M118" s="34"/>
      <x:c r="N118" s="35"/>
    </x:row>
    <x:row r="119">
      <x:c r="A119" s="34"/>
      <x:c r="B119" s="34"/>
      <x:c r="C119" s="78"/>
      <x:c r="D119" s="200" t="str">
        <x:f>IF(B119="","",IFERROR(INDEX('03_PET_LOTES'!$I$5:$I$204,MATCH(B119,'03_PET_LOTES'!$A$5:$A$204,0)),""))</x:f>
      </x:c>
      <x:c r="E119" s="134"/>
      <x:c r="F119" s="208" t="str">
        <x:f>IF(OR(D119="",E119="",D119=0),"",E119/D119)</x:f>
      </x:c>
      <x:c r="G119" s="136"/>
      <x:c r="H119" s="212" t="str">
        <x:f>IF(OR(E119="",G119="",G119=0),"",E119/G119)</x:f>
      </x:c>
      <x:c r="I119" s="34"/>
      <x:c r="J119" s="78"/>
      <x:c r="K119" s="34"/>
      <x:c r="L119" s="34"/>
      <x:c r="M119" s="34"/>
      <x:c r="N119" s="35"/>
    </x:row>
    <x:row r="120">
      <x:c r="A120" s="34"/>
      <x:c r="B120" s="34"/>
      <x:c r="C120" s="78"/>
      <x:c r="D120" s="200" t="str">
        <x:f>IF(B120="","",IFERROR(INDEX('03_PET_LOTES'!$I$5:$I$204,MATCH(B120,'03_PET_LOTES'!$A$5:$A$204,0)),""))</x:f>
      </x:c>
      <x:c r="E120" s="134"/>
      <x:c r="F120" s="208" t="str">
        <x:f>IF(OR(D120="",E120="",D120=0),"",E120/D120)</x:f>
      </x:c>
      <x:c r="G120" s="136"/>
      <x:c r="H120" s="212" t="str">
        <x:f>IF(OR(E120="",G120="",G120=0),"",E120/G120)</x:f>
      </x:c>
      <x:c r="I120" s="34"/>
      <x:c r="J120" s="78"/>
      <x:c r="K120" s="34"/>
      <x:c r="L120" s="34"/>
      <x:c r="M120" s="34"/>
      <x:c r="N120" s="35"/>
    </x:row>
    <x:row r="121">
      <x:c r="A121" s="34"/>
      <x:c r="B121" s="34"/>
      <x:c r="C121" s="78"/>
      <x:c r="D121" s="200" t="str">
        <x:f>IF(B121="","",IFERROR(INDEX('03_PET_LOTES'!$I$5:$I$204,MATCH(B121,'03_PET_LOTES'!$A$5:$A$204,0)),""))</x:f>
      </x:c>
      <x:c r="E121" s="134"/>
      <x:c r="F121" s="208" t="str">
        <x:f>IF(OR(D121="",E121="",D121=0),"",E121/D121)</x:f>
      </x:c>
      <x:c r="G121" s="136"/>
      <x:c r="H121" s="212" t="str">
        <x:f>IF(OR(E121="",G121="",G121=0),"",E121/G121)</x:f>
      </x:c>
      <x:c r="I121" s="34"/>
      <x:c r="J121" s="78"/>
      <x:c r="K121" s="34"/>
      <x:c r="L121" s="34"/>
      <x:c r="M121" s="34"/>
      <x:c r="N121" s="35"/>
    </x:row>
    <x:row r="122">
      <x:c r="A122" s="34"/>
      <x:c r="B122" s="34"/>
      <x:c r="C122" s="78"/>
      <x:c r="D122" s="200" t="str">
        <x:f>IF(B122="","",IFERROR(INDEX('03_PET_LOTES'!$I$5:$I$204,MATCH(B122,'03_PET_LOTES'!$A$5:$A$204,0)),""))</x:f>
      </x:c>
      <x:c r="E122" s="134"/>
      <x:c r="F122" s="208" t="str">
        <x:f>IF(OR(D122="",E122="",D122=0),"",E122/D122)</x:f>
      </x:c>
      <x:c r="G122" s="136"/>
      <x:c r="H122" s="212" t="str">
        <x:f>IF(OR(E122="",G122="",G122=0),"",E122/G122)</x:f>
      </x:c>
      <x:c r="I122" s="34"/>
      <x:c r="J122" s="78"/>
      <x:c r="K122" s="34"/>
      <x:c r="L122" s="34"/>
      <x:c r="M122" s="34"/>
      <x:c r="N122" s="35"/>
    </x:row>
    <x:row r="123">
      <x:c r="A123" s="34"/>
      <x:c r="B123" s="34"/>
      <x:c r="C123" s="78"/>
      <x:c r="D123" s="200" t="str">
        <x:f>IF(B123="","",IFERROR(INDEX('03_PET_LOTES'!$I$5:$I$204,MATCH(B123,'03_PET_LOTES'!$A$5:$A$204,0)),""))</x:f>
      </x:c>
      <x:c r="E123" s="134"/>
      <x:c r="F123" s="208" t="str">
        <x:f>IF(OR(D123="",E123="",D123=0),"",E123/D123)</x:f>
      </x:c>
      <x:c r="G123" s="136"/>
      <x:c r="H123" s="212" t="str">
        <x:f>IF(OR(E123="",G123="",G123=0),"",E123/G123)</x:f>
      </x:c>
      <x:c r="I123" s="34"/>
      <x:c r="J123" s="78"/>
      <x:c r="K123" s="34"/>
      <x:c r="L123" s="34"/>
      <x:c r="M123" s="34"/>
      <x:c r="N123" s="35"/>
    </x:row>
    <x:row r="124">
      <x:c r="A124" s="34"/>
      <x:c r="B124" s="34"/>
      <x:c r="C124" s="78"/>
      <x:c r="D124" s="200" t="str">
        <x:f>IF(B124="","",IFERROR(INDEX('03_PET_LOTES'!$I$5:$I$204,MATCH(B124,'03_PET_LOTES'!$A$5:$A$204,0)),""))</x:f>
      </x:c>
      <x:c r="E124" s="134"/>
      <x:c r="F124" s="208" t="str">
        <x:f>IF(OR(D124="",E124="",D124=0),"",E124/D124)</x:f>
      </x:c>
      <x:c r="G124" s="136"/>
      <x:c r="H124" s="212" t="str">
        <x:f>IF(OR(E124="",G124="",G124=0),"",E124/G124)</x:f>
      </x:c>
      <x:c r="I124" s="34"/>
      <x:c r="J124" s="78"/>
      <x:c r="K124" s="34"/>
      <x:c r="L124" s="34"/>
      <x:c r="M124" s="34"/>
      <x:c r="N124" s="35"/>
    </x:row>
    <x:row r="125">
      <x:c r="A125" s="34"/>
      <x:c r="B125" s="34"/>
      <x:c r="C125" s="78"/>
      <x:c r="D125" s="200" t="str">
        <x:f>IF(B125="","",IFERROR(INDEX('03_PET_LOTES'!$I$5:$I$204,MATCH(B125,'03_PET_LOTES'!$A$5:$A$204,0)),""))</x:f>
      </x:c>
      <x:c r="E125" s="134"/>
      <x:c r="F125" s="208" t="str">
        <x:f>IF(OR(D125="",E125="",D125=0),"",E125/D125)</x:f>
      </x:c>
      <x:c r="G125" s="136"/>
      <x:c r="H125" s="212" t="str">
        <x:f>IF(OR(E125="",G125="",G125=0),"",E125/G125)</x:f>
      </x:c>
      <x:c r="I125" s="34"/>
      <x:c r="J125" s="78"/>
      <x:c r="K125" s="34"/>
      <x:c r="L125" s="34"/>
      <x:c r="M125" s="34"/>
      <x:c r="N125" s="35"/>
    </x:row>
    <x:row r="126">
      <x:c r="A126" s="34"/>
      <x:c r="B126" s="34"/>
      <x:c r="C126" s="78"/>
      <x:c r="D126" s="200" t="str">
        <x:f>IF(B126="","",IFERROR(INDEX('03_PET_LOTES'!$I$5:$I$204,MATCH(B126,'03_PET_LOTES'!$A$5:$A$204,0)),""))</x:f>
      </x:c>
      <x:c r="E126" s="134"/>
      <x:c r="F126" s="208" t="str">
        <x:f>IF(OR(D126="",E126="",D126=0),"",E126/D126)</x:f>
      </x:c>
      <x:c r="G126" s="136"/>
      <x:c r="H126" s="212" t="str">
        <x:f>IF(OR(E126="",G126="",G126=0),"",E126/G126)</x:f>
      </x:c>
      <x:c r="I126" s="34"/>
      <x:c r="J126" s="78"/>
      <x:c r="K126" s="34"/>
      <x:c r="L126" s="34"/>
      <x:c r="M126" s="34"/>
      <x:c r="N126" s="35"/>
    </x:row>
    <x:row r="127">
      <x:c r="A127" s="34"/>
      <x:c r="B127" s="34"/>
      <x:c r="C127" s="78"/>
      <x:c r="D127" s="200" t="str">
        <x:f>IF(B127="","",IFERROR(INDEX('03_PET_LOTES'!$I$5:$I$204,MATCH(B127,'03_PET_LOTES'!$A$5:$A$204,0)),""))</x:f>
      </x:c>
      <x:c r="E127" s="134"/>
      <x:c r="F127" s="208" t="str">
        <x:f>IF(OR(D127="",E127="",D127=0),"",E127/D127)</x:f>
      </x:c>
      <x:c r="G127" s="136"/>
      <x:c r="H127" s="212" t="str">
        <x:f>IF(OR(E127="",G127="",G127=0),"",E127/G127)</x:f>
      </x:c>
      <x:c r="I127" s="34"/>
      <x:c r="J127" s="78"/>
      <x:c r="K127" s="34"/>
      <x:c r="L127" s="34"/>
      <x:c r="M127" s="34"/>
      <x:c r="N127" s="35"/>
    </x:row>
    <x:row r="128">
      <x:c r="A128" s="34"/>
      <x:c r="B128" s="34"/>
      <x:c r="C128" s="78"/>
      <x:c r="D128" s="200" t="str">
        <x:f>IF(B128="","",IFERROR(INDEX('03_PET_LOTES'!$I$5:$I$204,MATCH(B128,'03_PET_LOTES'!$A$5:$A$204,0)),""))</x:f>
      </x:c>
      <x:c r="E128" s="134"/>
      <x:c r="F128" s="208" t="str">
        <x:f>IF(OR(D128="",E128="",D128=0),"",E128/D128)</x:f>
      </x:c>
      <x:c r="G128" s="136"/>
      <x:c r="H128" s="212" t="str">
        <x:f>IF(OR(E128="",G128="",G128=0),"",E128/G128)</x:f>
      </x:c>
      <x:c r="I128" s="34"/>
      <x:c r="J128" s="78"/>
      <x:c r="K128" s="34"/>
      <x:c r="L128" s="34"/>
      <x:c r="M128" s="34"/>
      <x:c r="N128" s="35"/>
    </x:row>
    <x:row r="129">
      <x:c r="A129" s="34"/>
      <x:c r="B129" s="34"/>
      <x:c r="C129" s="78"/>
      <x:c r="D129" s="200" t="str">
        <x:f>IF(B129="","",IFERROR(INDEX('03_PET_LOTES'!$I$5:$I$204,MATCH(B129,'03_PET_LOTES'!$A$5:$A$204,0)),""))</x:f>
      </x:c>
      <x:c r="E129" s="134"/>
      <x:c r="F129" s="208" t="str">
        <x:f>IF(OR(D129="",E129="",D129=0),"",E129/D129)</x:f>
      </x:c>
      <x:c r="G129" s="136"/>
      <x:c r="H129" s="212" t="str">
        <x:f>IF(OR(E129="",G129="",G129=0),"",E129/G129)</x:f>
      </x:c>
      <x:c r="I129" s="34"/>
      <x:c r="J129" s="78"/>
      <x:c r="K129" s="34"/>
      <x:c r="L129" s="34"/>
      <x:c r="M129" s="34"/>
      <x:c r="N129" s="35"/>
    </x:row>
    <x:row r="130">
      <x:c r="A130" s="34"/>
      <x:c r="B130" s="34"/>
      <x:c r="C130" s="78"/>
      <x:c r="D130" s="200" t="str">
        <x:f>IF(B130="","",IFERROR(INDEX('03_PET_LOTES'!$I$5:$I$204,MATCH(B130,'03_PET_LOTES'!$A$5:$A$204,0)),""))</x:f>
      </x:c>
      <x:c r="E130" s="134"/>
      <x:c r="F130" s="208" t="str">
        <x:f>IF(OR(D130="",E130="",D130=0),"",E130/D130)</x:f>
      </x:c>
      <x:c r="G130" s="136"/>
      <x:c r="H130" s="212" t="str">
        <x:f>IF(OR(E130="",G130="",G130=0),"",E130/G130)</x:f>
      </x:c>
      <x:c r="I130" s="34"/>
      <x:c r="J130" s="78"/>
      <x:c r="K130" s="34"/>
      <x:c r="L130" s="34"/>
      <x:c r="M130" s="34"/>
      <x:c r="N130" s="35"/>
    </x:row>
    <x:row r="131">
      <x:c r="A131" s="34"/>
      <x:c r="B131" s="34"/>
      <x:c r="C131" s="78"/>
      <x:c r="D131" s="200" t="str">
        <x:f>IF(B131="","",IFERROR(INDEX('03_PET_LOTES'!$I$5:$I$204,MATCH(B131,'03_PET_LOTES'!$A$5:$A$204,0)),""))</x:f>
      </x:c>
      <x:c r="E131" s="134"/>
      <x:c r="F131" s="208" t="str">
        <x:f>IF(OR(D131="",E131="",D131=0),"",E131/D131)</x:f>
      </x:c>
      <x:c r="G131" s="136"/>
      <x:c r="H131" s="212" t="str">
        <x:f>IF(OR(E131="",G131="",G131=0),"",E131/G131)</x:f>
      </x:c>
      <x:c r="I131" s="34"/>
      <x:c r="J131" s="78"/>
      <x:c r="K131" s="34"/>
      <x:c r="L131" s="34"/>
      <x:c r="M131" s="34"/>
      <x:c r="N131" s="35"/>
    </x:row>
    <x:row r="132">
      <x:c r="A132" s="34"/>
      <x:c r="B132" s="34"/>
      <x:c r="C132" s="78"/>
      <x:c r="D132" s="200" t="str">
        <x:f>IF(B132="","",IFERROR(INDEX('03_PET_LOTES'!$I$5:$I$204,MATCH(B132,'03_PET_LOTES'!$A$5:$A$204,0)),""))</x:f>
      </x:c>
      <x:c r="E132" s="134"/>
      <x:c r="F132" s="208" t="str">
        <x:f>IF(OR(D132="",E132="",D132=0),"",E132/D132)</x:f>
      </x:c>
      <x:c r="G132" s="136"/>
      <x:c r="H132" s="212" t="str">
        <x:f>IF(OR(E132="",G132="",G132=0),"",E132/G132)</x:f>
      </x:c>
      <x:c r="I132" s="34"/>
      <x:c r="J132" s="78"/>
      <x:c r="K132" s="34"/>
      <x:c r="L132" s="34"/>
      <x:c r="M132" s="34"/>
      <x:c r="N132" s="35"/>
    </x:row>
    <x:row r="133">
      <x:c r="A133" s="34"/>
      <x:c r="B133" s="34"/>
      <x:c r="C133" s="78"/>
      <x:c r="D133" s="200" t="str">
        <x:f>IF(B133="","",IFERROR(INDEX('03_PET_LOTES'!$I$5:$I$204,MATCH(B133,'03_PET_LOTES'!$A$5:$A$204,0)),""))</x:f>
      </x:c>
      <x:c r="E133" s="134"/>
      <x:c r="F133" s="208" t="str">
        <x:f>IF(OR(D133="",E133="",D133=0),"",E133/D133)</x:f>
      </x:c>
      <x:c r="G133" s="136"/>
      <x:c r="H133" s="212" t="str">
        <x:f>IF(OR(E133="",G133="",G133=0),"",E133/G133)</x:f>
      </x:c>
      <x:c r="I133" s="34"/>
      <x:c r="J133" s="78"/>
      <x:c r="K133" s="34"/>
      <x:c r="L133" s="34"/>
      <x:c r="M133" s="34"/>
      <x:c r="N133" s="35"/>
    </x:row>
    <x:row r="134">
      <x:c r="A134" s="34"/>
      <x:c r="B134" s="34"/>
      <x:c r="C134" s="78"/>
      <x:c r="D134" s="200" t="str">
        <x:f>IF(B134="","",IFERROR(INDEX('03_PET_LOTES'!$I$5:$I$204,MATCH(B134,'03_PET_LOTES'!$A$5:$A$204,0)),""))</x:f>
      </x:c>
      <x:c r="E134" s="134"/>
      <x:c r="F134" s="208" t="str">
        <x:f>IF(OR(D134="",E134="",D134=0),"",E134/D134)</x:f>
      </x:c>
      <x:c r="G134" s="136"/>
      <x:c r="H134" s="212" t="str">
        <x:f>IF(OR(E134="",G134="",G134=0),"",E134/G134)</x:f>
      </x:c>
      <x:c r="I134" s="34"/>
      <x:c r="J134" s="78"/>
      <x:c r="K134" s="34"/>
      <x:c r="L134" s="34"/>
      <x:c r="M134" s="34"/>
      <x:c r="N134" s="35"/>
    </x:row>
    <x:row r="135">
      <x:c r="A135" s="34"/>
      <x:c r="B135" s="34"/>
      <x:c r="C135" s="78"/>
      <x:c r="D135" s="200" t="str">
        <x:f>IF(B135="","",IFERROR(INDEX('03_PET_LOTES'!$I$5:$I$204,MATCH(B135,'03_PET_LOTES'!$A$5:$A$204,0)),""))</x:f>
      </x:c>
      <x:c r="E135" s="134"/>
      <x:c r="F135" s="208" t="str">
        <x:f>IF(OR(D135="",E135="",D135=0),"",E135/D135)</x:f>
      </x:c>
      <x:c r="G135" s="136"/>
      <x:c r="H135" s="212" t="str">
        <x:f>IF(OR(E135="",G135="",G135=0),"",E135/G135)</x:f>
      </x:c>
      <x:c r="I135" s="34"/>
      <x:c r="J135" s="78"/>
      <x:c r="K135" s="34"/>
      <x:c r="L135" s="34"/>
      <x:c r="M135" s="34"/>
      <x:c r="N135" s="35"/>
    </x:row>
    <x:row r="136">
      <x:c r="A136" s="34"/>
      <x:c r="B136" s="34"/>
      <x:c r="C136" s="78"/>
      <x:c r="D136" s="200" t="str">
        <x:f>IF(B136="","",IFERROR(INDEX('03_PET_LOTES'!$I$5:$I$204,MATCH(B136,'03_PET_LOTES'!$A$5:$A$204,0)),""))</x:f>
      </x:c>
      <x:c r="E136" s="134"/>
      <x:c r="F136" s="208" t="str">
        <x:f>IF(OR(D136="",E136="",D136=0),"",E136/D136)</x:f>
      </x:c>
      <x:c r="G136" s="136"/>
      <x:c r="H136" s="212" t="str">
        <x:f>IF(OR(E136="",G136="",G136=0),"",E136/G136)</x:f>
      </x:c>
      <x:c r="I136" s="34"/>
      <x:c r="J136" s="78"/>
      <x:c r="K136" s="34"/>
      <x:c r="L136" s="34"/>
      <x:c r="M136" s="34"/>
      <x:c r="N136" s="35"/>
    </x:row>
    <x:row r="137">
      <x:c r="A137" s="34"/>
      <x:c r="B137" s="34"/>
      <x:c r="C137" s="78"/>
      <x:c r="D137" s="200" t="str">
        <x:f>IF(B137="","",IFERROR(INDEX('03_PET_LOTES'!$I$5:$I$204,MATCH(B137,'03_PET_LOTES'!$A$5:$A$204,0)),""))</x:f>
      </x:c>
      <x:c r="E137" s="134"/>
      <x:c r="F137" s="208" t="str">
        <x:f>IF(OR(D137="",E137="",D137=0),"",E137/D137)</x:f>
      </x:c>
      <x:c r="G137" s="136"/>
      <x:c r="H137" s="212" t="str">
        <x:f>IF(OR(E137="",G137="",G137=0),"",E137/G137)</x:f>
      </x:c>
      <x:c r="I137" s="34"/>
      <x:c r="J137" s="78"/>
      <x:c r="K137" s="34"/>
      <x:c r="L137" s="34"/>
      <x:c r="M137" s="34"/>
      <x:c r="N137" s="35"/>
    </x:row>
    <x:row r="138">
      <x:c r="A138" s="34"/>
      <x:c r="B138" s="34"/>
      <x:c r="C138" s="78"/>
      <x:c r="D138" s="200" t="str">
        <x:f>IF(B138="","",IFERROR(INDEX('03_PET_LOTES'!$I$5:$I$204,MATCH(B138,'03_PET_LOTES'!$A$5:$A$204,0)),""))</x:f>
      </x:c>
      <x:c r="E138" s="134"/>
      <x:c r="F138" s="208" t="str">
        <x:f>IF(OR(D138="",E138="",D138=0),"",E138/D138)</x:f>
      </x:c>
      <x:c r="G138" s="136"/>
      <x:c r="H138" s="212" t="str">
        <x:f>IF(OR(E138="",G138="",G138=0),"",E138/G138)</x:f>
      </x:c>
      <x:c r="I138" s="34"/>
      <x:c r="J138" s="78"/>
      <x:c r="K138" s="34"/>
      <x:c r="L138" s="34"/>
      <x:c r="M138" s="34"/>
      <x:c r="N138" s="35"/>
    </x:row>
    <x:row r="139">
      <x:c r="A139" s="34"/>
      <x:c r="B139" s="34"/>
      <x:c r="C139" s="78"/>
      <x:c r="D139" s="200" t="str">
        <x:f>IF(B139="","",IFERROR(INDEX('03_PET_LOTES'!$I$5:$I$204,MATCH(B139,'03_PET_LOTES'!$A$5:$A$204,0)),""))</x:f>
      </x:c>
      <x:c r="E139" s="134"/>
      <x:c r="F139" s="208" t="str">
        <x:f>IF(OR(D139="",E139="",D139=0),"",E139/D139)</x:f>
      </x:c>
      <x:c r="G139" s="136"/>
      <x:c r="H139" s="212" t="str">
        <x:f>IF(OR(E139="",G139="",G139=0),"",E139/G139)</x:f>
      </x:c>
      <x:c r="I139" s="34"/>
      <x:c r="J139" s="78"/>
      <x:c r="K139" s="34"/>
      <x:c r="L139" s="34"/>
      <x:c r="M139" s="34"/>
      <x:c r="N139" s="35"/>
    </x:row>
    <x:row r="140">
      <x:c r="A140" s="34"/>
      <x:c r="B140" s="34"/>
      <x:c r="C140" s="78"/>
      <x:c r="D140" s="200" t="str">
        <x:f>IF(B140="","",IFERROR(INDEX('03_PET_LOTES'!$I$5:$I$204,MATCH(B140,'03_PET_LOTES'!$A$5:$A$204,0)),""))</x:f>
      </x:c>
      <x:c r="E140" s="134"/>
      <x:c r="F140" s="208" t="str">
        <x:f>IF(OR(D140="",E140="",D140=0),"",E140/D140)</x:f>
      </x:c>
      <x:c r="G140" s="136"/>
      <x:c r="H140" s="212" t="str">
        <x:f>IF(OR(E140="",G140="",G140=0),"",E140/G140)</x:f>
      </x:c>
      <x:c r="I140" s="34"/>
      <x:c r="J140" s="78"/>
      <x:c r="K140" s="34"/>
      <x:c r="L140" s="34"/>
      <x:c r="M140" s="34"/>
      <x:c r="N140" s="35"/>
    </x:row>
    <x:row r="141">
      <x:c r="A141" s="34"/>
      <x:c r="B141" s="34"/>
      <x:c r="C141" s="78"/>
      <x:c r="D141" s="200" t="str">
        <x:f>IF(B141="","",IFERROR(INDEX('03_PET_LOTES'!$I$5:$I$204,MATCH(B141,'03_PET_LOTES'!$A$5:$A$204,0)),""))</x:f>
      </x:c>
      <x:c r="E141" s="134"/>
      <x:c r="F141" s="208" t="str">
        <x:f>IF(OR(D141="",E141="",D141=0),"",E141/D141)</x:f>
      </x:c>
      <x:c r="G141" s="136"/>
      <x:c r="H141" s="212" t="str">
        <x:f>IF(OR(E141="",G141="",G141=0),"",E141/G141)</x:f>
      </x:c>
      <x:c r="I141" s="34"/>
      <x:c r="J141" s="78"/>
      <x:c r="K141" s="34"/>
      <x:c r="L141" s="34"/>
      <x:c r="M141" s="34"/>
      <x:c r="N141" s="35"/>
    </x:row>
    <x:row r="142">
      <x:c r="A142" s="34"/>
      <x:c r="B142" s="34"/>
      <x:c r="C142" s="78"/>
      <x:c r="D142" s="200" t="str">
        <x:f>IF(B142="","",IFERROR(INDEX('03_PET_LOTES'!$I$5:$I$204,MATCH(B142,'03_PET_LOTES'!$A$5:$A$204,0)),""))</x:f>
      </x:c>
      <x:c r="E142" s="134"/>
      <x:c r="F142" s="208" t="str">
        <x:f>IF(OR(D142="",E142="",D142=0),"",E142/D142)</x:f>
      </x:c>
      <x:c r="G142" s="136"/>
      <x:c r="H142" s="212" t="str">
        <x:f>IF(OR(E142="",G142="",G142=0),"",E142/G142)</x:f>
      </x:c>
      <x:c r="I142" s="34"/>
      <x:c r="J142" s="78"/>
      <x:c r="K142" s="34"/>
      <x:c r="L142" s="34"/>
      <x:c r="M142" s="34"/>
      <x:c r="N142" s="35"/>
    </x:row>
    <x:row r="143">
      <x:c r="A143" s="34"/>
      <x:c r="B143" s="34"/>
      <x:c r="C143" s="78"/>
      <x:c r="D143" s="200" t="str">
        <x:f>IF(B143="","",IFERROR(INDEX('03_PET_LOTES'!$I$5:$I$204,MATCH(B143,'03_PET_LOTES'!$A$5:$A$204,0)),""))</x:f>
      </x:c>
      <x:c r="E143" s="134"/>
      <x:c r="F143" s="208" t="str">
        <x:f>IF(OR(D143="",E143="",D143=0),"",E143/D143)</x:f>
      </x:c>
      <x:c r="G143" s="136"/>
      <x:c r="H143" s="212" t="str">
        <x:f>IF(OR(E143="",G143="",G143=0),"",E143/G143)</x:f>
      </x:c>
      <x:c r="I143" s="34"/>
      <x:c r="J143" s="78"/>
      <x:c r="K143" s="34"/>
      <x:c r="L143" s="34"/>
      <x:c r="M143" s="34"/>
      <x:c r="N143" s="35"/>
    </x:row>
    <x:row r="144">
      <x:c r="A144" s="34"/>
      <x:c r="B144" s="34"/>
      <x:c r="C144" s="78"/>
      <x:c r="D144" s="200" t="str">
        <x:f>IF(B144="","",IFERROR(INDEX('03_PET_LOTES'!$I$5:$I$204,MATCH(B144,'03_PET_LOTES'!$A$5:$A$204,0)),""))</x:f>
      </x:c>
      <x:c r="E144" s="134"/>
      <x:c r="F144" s="208" t="str">
        <x:f>IF(OR(D144="",E144="",D144=0),"",E144/D144)</x:f>
      </x:c>
      <x:c r="G144" s="136"/>
      <x:c r="H144" s="212" t="str">
        <x:f>IF(OR(E144="",G144="",G144=0),"",E144/G144)</x:f>
      </x:c>
      <x:c r="I144" s="34"/>
      <x:c r="J144" s="78"/>
      <x:c r="K144" s="34"/>
      <x:c r="L144" s="34"/>
      <x:c r="M144" s="34"/>
      <x:c r="N144" s="35"/>
    </x:row>
    <x:row r="145">
      <x:c r="A145" s="34"/>
      <x:c r="B145" s="34"/>
      <x:c r="C145" s="78"/>
      <x:c r="D145" s="200" t="str">
        <x:f>IF(B145="","",IFERROR(INDEX('03_PET_LOTES'!$I$5:$I$204,MATCH(B145,'03_PET_LOTES'!$A$5:$A$204,0)),""))</x:f>
      </x:c>
      <x:c r="E145" s="134"/>
      <x:c r="F145" s="208" t="str">
        <x:f>IF(OR(D145="",E145="",D145=0),"",E145/D145)</x:f>
      </x:c>
      <x:c r="G145" s="136"/>
      <x:c r="H145" s="212" t="str">
        <x:f>IF(OR(E145="",G145="",G145=0),"",E145/G145)</x:f>
      </x:c>
      <x:c r="I145" s="34"/>
      <x:c r="J145" s="78"/>
      <x:c r="K145" s="34"/>
      <x:c r="L145" s="34"/>
      <x:c r="M145" s="34"/>
      <x:c r="N145" s="35"/>
    </x:row>
    <x:row r="146">
      <x:c r="A146" s="34"/>
      <x:c r="B146" s="34"/>
      <x:c r="C146" s="78"/>
      <x:c r="D146" s="200" t="str">
        <x:f>IF(B146="","",IFERROR(INDEX('03_PET_LOTES'!$I$5:$I$204,MATCH(B146,'03_PET_LOTES'!$A$5:$A$204,0)),""))</x:f>
      </x:c>
      <x:c r="E146" s="134"/>
      <x:c r="F146" s="208" t="str">
        <x:f>IF(OR(D146="",E146="",D146=0),"",E146/D146)</x:f>
      </x:c>
      <x:c r="G146" s="136"/>
      <x:c r="H146" s="212" t="str">
        <x:f>IF(OR(E146="",G146="",G146=0),"",E146/G146)</x:f>
      </x:c>
      <x:c r="I146" s="34"/>
      <x:c r="J146" s="78"/>
      <x:c r="K146" s="34"/>
      <x:c r="L146" s="34"/>
      <x:c r="M146" s="34"/>
      <x:c r="N146" s="35"/>
    </x:row>
    <x:row r="147">
      <x:c r="A147" s="34"/>
      <x:c r="B147" s="34"/>
      <x:c r="C147" s="78"/>
      <x:c r="D147" s="200" t="str">
        <x:f>IF(B147="","",IFERROR(INDEX('03_PET_LOTES'!$I$5:$I$204,MATCH(B147,'03_PET_LOTES'!$A$5:$A$204,0)),""))</x:f>
      </x:c>
      <x:c r="E147" s="134"/>
      <x:c r="F147" s="208" t="str">
        <x:f>IF(OR(D147="",E147="",D147=0),"",E147/D147)</x:f>
      </x:c>
      <x:c r="G147" s="136"/>
      <x:c r="H147" s="212" t="str">
        <x:f>IF(OR(E147="",G147="",G147=0),"",E147/G147)</x:f>
      </x:c>
      <x:c r="I147" s="34"/>
      <x:c r="J147" s="78"/>
      <x:c r="K147" s="34"/>
      <x:c r="L147" s="34"/>
      <x:c r="M147" s="34"/>
      <x:c r="N147" s="35"/>
    </x:row>
    <x:row r="148">
      <x:c r="A148" s="34"/>
      <x:c r="B148" s="34"/>
      <x:c r="C148" s="78"/>
      <x:c r="D148" s="200" t="str">
        <x:f>IF(B148="","",IFERROR(INDEX('03_PET_LOTES'!$I$5:$I$204,MATCH(B148,'03_PET_LOTES'!$A$5:$A$204,0)),""))</x:f>
      </x:c>
      <x:c r="E148" s="134"/>
      <x:c r="F148" s="208" t="str">
        <x:f>IF(OR(D148="",E148="",D148=0),"",E148/D148)</x:f>
      </x:c>
      <x:c r="G148" s="136"/>
      <x:c r="H148" s="212" t="str">
        <x:f>IF(OR(E148="",G148="",G148=0),"",E148/G148)</x:f>
      </x:c>
      <x:c r="I148" s="34"/>
      <x:c r="J148" s="78"/>
      <x:c r="K148" s="34"/>
      <x:c r="L148" s="34"/>
      <x:c r="M148" s="34"/>
      <x:c r="N148" s="35"/>
    </x:row>
    <x:row r="149">
      <x:c r="A149" s="34"/>
      <x:c r="B149" s="34"/>
      <x:c r="C149" s="78"/>
      <x:c r="D149" s="200" t="str">
        <x:f>IF(B149="","",IFERROR(INDEX('03_PET_LOTES'!$I$5:$I$204,MATCH(B149,'03_PET_LOTES'!$A$5:$A$204,0)),""))</x:f>
      </x:c>
      <x:c r="E149" s="134"/>
      <x:c r="F149" s="208" t="str">
        <x:f>IF(OR(D149="",E149="",D149=0),"",E149/D149)</x:f>
      </x:c>
      <x:c r="G149" s="136"/>
      <x:c r="H149" s="212" t="str">
        <x:f>IF(OR(E149="",G149="",G149=0),"",E149/G149)</x:f>
      </x:c>
      <x:c r="I149" s="34"/>
      <x:c r="J149" s="78"/>
      <x:c r="K149" s="34"/>
      <x:c r="L149" s="34"/>
      <x:c r="M149" s="34"/>
      <x:c r="N149" s="35"/>
    </x:row>
    <x:row r="150">
      <x:c r="A150" s="34"/>
      <x:c r="B150" s="34"/>
      <x:c r="C150" s="78"/>
      <x:c r="D150" s="200" t="str">
        <x:f>IF(B150="","",IFERROR(INDEX('03_PET_LOTES'!$I$5:$I$204,MATCH(B150,'03_PET_LOTES'!$A$5:$A$204,0)),""))</x:f>
      </x:c>
      <x:c r="E150" s="134"/>
      <x:c r="F150" s="208" t="str">
        <x:f>IF(OR(D150="",E150="",D150=0),"",E150/D150)</x:f>
      </x:c>
      <x:c r="G150" s="136"/>
      <x:c r="H150" s="212" t="str">
        <x:f>IF(OR(E150="",G150="",G150=0),"",E150/G150)</x:f>
      </x:c>
      <x:c r="I150" s="34"/>
      <x:c r="J150" s="78"/>
      <x:c r="K150" s="34"/>
      <x:c r="L150" s="34"/>
      <x:c r="M150" s="34"/>
      <x:c r="N150" s="35"/>
    </x:row>
    <x:row r="151">
      <x:c r="A151" s="34"/>
      <x:c r="B151" s="34"/>
      <x:c r="C151" s="78"/>
      <x:c r="D151" s="200" t="str">
        <x:f>IF(B151="","",IFERROR(INDEX('03_PET_LOTES'!$I$5:$I$204,MATCH(B151,'03_PET_LOTES'!$A$5:$A$204,0)),""))</x:f>
      </x:c>
      <x:c r="E151" s="134"/>
      <x:c r="F151" s="208" t="str">
        <x:f>IF(OR(D151="",E151="",D151=0),"",E151/D151)</x:f>
      </x:c>
      <x:c r="G151" s="136"/>
      <x:c r="H151" s="212" t="str">
        <x:f>IF(OR(E151="",G151="",G151=0),"",E151/G151)</x:f>
      </x:c>
      <x:c r="I151" s="34"/>
      <x:c r="J151" s="78"/>
      <x:c r="K151" s="34"/>
      <x:c r="L151" s="34"/>
      <x:c r="M151" s="34"/>
      <x:c r="N151" s="35"/>
    </x:row>
    <x:row r="152">
      <x:c r="A152" s="34"/>
      <x:c r="B152" s="34"/>
      <x:c r="C152" s="78"/>
      <x:c r="D152" s="200" t="str">
        <x:f>IF(B152="","",IFERROR(INDEX('03_PET_LOTES'!$I$5:$I$204,MATCH(B152,'03_PET_LOTES'!$A$5:$A$204,0)),""))</x:f>
      </x:c>
      <x:c r="E152" s="134"/>
      <x:c r="F152" s="208" t="str">
        <x:f>IF(OR(D152="",E152="",D152=0),"",E152/D152)</x:f>
      </x:c>
      <x:c r="G152" s="136"/>
      <x:c r="H152" s="212" t="str">
        <x:f>IF(OR(E152="",G152="",G152=0),"",E152/G152)</x:f>
      </x:c>
      <x:c r="I152" s="34"/>
      <x:c r="J152" s="78"/>
      <x:c r="K152" s="34"/>
      <x:c r="L152" s="34"/>
      <x:c r="M152" s="34"/>
      <x:c r="N152" s="35"/>
    </x:row>
    <x:row r="153">
      <x:c r="A153" s="34"/>
      <x:c r="B153" s="34"/>
      <x:c r="C153" s="78"/>
      <x:c r="D153" s="200" t="str">
        <x:f>IF(B153="","",IFERROR(INDEX('03_PET_LOTES'!$I$5:$I$204,MATCH(B153,'03_PET_LOTES'!$A$5:$A$204,0)),""))</x:f>
      </x:c>
      <x:c r="E153" s="134"/>
      <x:c r="F153" s="208" t="str">
        <x:f>IF(OR(D153="",E153="",D153=0),"",E153/D153)</x:f>
      </x:c>
      <x:c r="G153" s="136"/>
      <x:c r="H153" s="212" t="str">
        <x:f>IF(OR(E153="",G153="",G153=0),"",E153/G153)</x:f>
      </x:c>
      <x:c r="I153" s="34"/>
      <x:c r="J153" s="78"/>
      <x:c r="K153" s="34"/>
      <x:c r="L153" s="34"/>
      <x:c r="M153" s="34"/>
      <x:c r="N153" s="35"/>
    </x:row>
    <x:row r="154">
      <x:c r="A154" s="34"/>
      <x:c r="B154" s="34"/>
      <x:c r="C154" s="78"/>
      <x:c r="D154" s="200" t="str">
        <x:f>IF(B154="","",IFERROR(INDEX('03_PET_LOTES'!$I$5:$I$204,MATCH(B154,'03_PET_LOTES'!$A$5:$A$204,0)),""))</x:f>
      </x:c>
      <x:c r="E154" s="134"/>
      <x:c r="F154" s="208" t="str">
        <x:f>IF(OR(D154="",E154="",D154=0),"",E154/D154)</x:f>
      </x:c>
      <x:c r="G154" s="136"/>
      <x:c r="H154" s="212" t="str">
        <x:f>IF(OR(E154="",G154="",G154=0),"",E154/G154)</x:f>
      </x:c>
      <x:c r="I154" s="34"/>
      <x:c r="J154" s="78"/>
      <x:c r="K154" s="34"/>
      <x:c r="L154" s="34"/>
      <x:c r="M154" s="34"/>
      <x:c r="N154" s="35"/>
    </x:row>
    <x:row r="155">
      <x:c r="A155" s="34"/>
      <x:c r="B155" s="34"/>
      <x:c r="C155" s="78"/>
      <x:c r="D155" s="200" t="str">
        <x:f>IF(B155="","",IFERROR(INDEX('03_PET_LOTES'!$I$5:$I$204,MATCH(B155,'03_PET_LOTES'!$A$5:$A$204,0)),""))</x:f>
      </x:c>
      <x:c r="E155" s="134"/>
      <x:c r="F155" s="208" t="str">
        <x:f>IF(OR(D155="",E155="",D155=0),"",E155/D155)</x:f>
      </x:c>
      <x:c r="G155" s="136"/>
      <x:c r="H155" s="212" t="str">
        <x:f>IF(OR(E155="",G155="",G155=0),"",E155/G155)</x:f>
      </x:c>
      <x:c r="I155" s="34"/>
      <x:c r="J155" s="78"/>
      <x:c r="K155" s="34"/>
      <x:c r="L155" s="34"/>
      <x:c r="M155" s="34"/>
      <x:c r="N155" s="35"/>
    </x:row>
    <x:row r="156">
      <x:c r="A156" s="34"/>
      <x:c r="B156" s="34"/>
      <x:c r="C156" s="78"/>
      <x:c r="D156" s="200" t="str">
        <x:f>IF(B156="","",IFERROR(INDEX('03_PET_LOTES'!$I$5:$I$204,MATCH(B156,'03_PET_LOTES'!$A$5:$A$204,0)),""))</x:f>
      </x:c>
      <x:c r="E156" s="134"/>
      <x:c r="F156" s="208" t="str">
        <x:f>IF(OR(D156="",E156="",D156=0),"",E156/D156)</x:f>
      </x:c>
      <x:c r="G156" s="136"/>
      <x:c r="H156" s="212" t="str">
        <x:f>IF(OR(E156="",G156="",G156=0),"",E156/G156)</x:f>
      </x:c>
      <x:c r="I156" s="34"/>
      <x:c r="J156" s="78"/>
      <x:c r="K156" s="34"/>
      <x:c r="L156" s="34"/>
      <x:c r="M156" s="34"/>
      <x:c r="N156" s="35"/>
    </x:row>
    <x:row r="157">
      <x:c r="A157" s="34"/>
      <x:c r="B157" s="34"/>
      <x:c r="C157" s="78"/>
      <x:c r="D157" s="200" t="str">
        <x:f>IF(B157="","",IFERROR(INDEX('03_PET_LOTES'!$I$5:$I$204,MATCH(B157,'03_PET_LOTES'!$A$5:$A$204,0)),""))</x:f>
      </x:c>
      <x:c r="E157" s="134"/>
      <x:c r="F157" s="208" t="str">
        <x:f>IF(OR(D157="",E157="",D157=0),"",E157/D157)</x:f>
      </x:c>
      <x:c r="G157" s="136"/>
      <x:c r="H157" s="212" t="str">
        <x:f>IF(OR(E157="",G157="",G157=0),"",E157/G157)</x:f>
      </x:c>
      <x:c r="I157" s="34"/>
      <x:c r="J157" s="78"/>
      <x:c r="K157" s="34"/>
      <x:c r="L157" s="34"/>
      <x:c r="M157" s="34"/>
      <x:c r="N157" s="35"/>
    </x:row>
    <x:row r="158">
      <x:c r="A158" s="34"/>
      <x:c r="B158" s="34"/>
      <x:c r="C158" s="78"/>
      <x:c r="D158" s="200" t="str">
        <x:f>IF(B158="","",IFERROR(INDEX('03_PET_LOTES'!$I$5:$I$204,MATCH(B158,'03_PET_LOTES'!$A$5:$A$204,0)),""))</x:f>
      </x:c>
      <x:c r="E158" s="134"/>
      <x:c r="F158" s="208" t="str">
        <x:f>IF(OR(D158="",E158="",D158=0),"",E158/D158)</x:f>
      </x:c>
      <x:c r="G158" s="136"/>
      <x:c r="H158" s="212" t="str">
        <x:f>IF(OR(E158="",G158="",G158=0),"",E158/G158)</x:f>
      </x:c>
      <x:c r="I158" s="34"/>
      <x:c r="J158" s="78"/>
      <x:c r="K158" s="34"/>
      <x:c r="L158" s="34"/>
      <x:c r="M158" s="34"/>
      <x:c r="N158" s="35"/>
    </x:row>
    <x:row r="159">
      <x:c r="A159" s="34"/>
      <x:c r="B159" s="34"/>
      <x:c r="C159" s="78"/>
      <x:c r="D159" s="200" t="str">
        <x:f>IF(B159="","",IFERROR(INDEX('03_PET_LOTES'!$I$5:$I$204,MATCH(B159,'03_PET_LOTES'!$A$5:$A$204,0)),""))</x:f>
      </x:c>
      <x:c r="E159" s="134"/>
      <x:c r="F159" s="208" t="str">
        <x:f>IF(OR(D159="",E159="",D159=0),"",E159/D159)</x:f>
      </x:c>
      <x:c r="G159" s="136"/>
      <x:c r="H159" s="212" t="str">
        <x:f>IF(OR(E159="",G159="",G159=0),"",E159/G159)</x:f>
      </x:c>
      <x:c r="I159" s="34"/>
      <x:c r="J159" s="78"/>
      <x:c r="K159" s="34"/>
      <x:c r="L159" s="34"/>
      <x:c r="M159" s="34"/>
      <x:c r="N159" s="35"/>
    </x:row>
    <x:row r="160">
      <x:c r="A160" s="34"/>
      <x:c r="B160" s="34"/>
      <x:c r="C160" s="78"/>
      <x:c r="D160" s="200" t="str">
        <x:f>IF(B160="","",IFERROR(INDEX('03_PET_LOTES'!$I$5:$I$204,MATCH(B160,'03_PET_LOTES'!$A$5:$A$204,0)),""))</x:f>
      </x:c>
      <x:c r="E160" s="134"/>
      <x:c r="F160" s="208" t="str">
        <x:f>IF(OR(D160="",E160="",D160=0),"",E160/D160)</x:f>
      </x:c>
      <x:c r="G160" s="136"/>
      <x:c r="H160" s="212" t="str">
        <x:f>IF(OR(E160="",G160="",G160=0),"",E160/G160)</x:f>
      </x:c>
      <x:c r="I160" s="34"/>
      <x:c r="J160" s="78"/>
      <x:c r="K160" s="34"/>
      <x:c r="L160" s="34"/>
      <x:c r="M160" s="34"/>
      <x:c r="N160" s="35"/>
    </x:row>
    <x:row r="161">
      <x:c r="A161" s="34"/>
      <x:c r="B161" s="34"/>
      <x:c r="C161" s="78"/>
      <x:c r="D161" s="200" t="str">
        <x:f>IF(B161="","",IFERROR(INDEX('03_PET_LOTES'!$I$5:$I$204,MATCH(B161,'03_PET_LOTES'!$A$5:$A$204,0)),""))</x:f>
      </x:c>
      <x:c r="E161" s="134"/>
      <x:c r="F161" s="208" t="str">
        <x:f>IF(OR(D161="",E161="",D161=0),"",E161/D161)</x:f>
      </x:c>
      <x:c r="G161" s="136"/>
      <x:c r="H161" s="212" t="str">
        <x:f>IF(OR(E161="",G161="",G161=0),"",E161/G161)</x:f>
      </x:c>
      <x:c r="I161" s="34"/>
      <x:c r="J161" s="78"/>
      <x:c r="K161" s="34"/>
      <x:c r="L161" s="34"/>
      <x:c r="M161" s="34"/>
      <x:c r="N161" s="35"/>
    </x:row>
    <x:row r="162">
      <x:c r="A162" s="34"/>
      <x:c r="B162" s="34"/>
      <x:c r="C162" s="78"/>
      <x:c r="D162" s="200" t="str">
        <x:f>IF(B162="","",IFERROR(INDEX('03_PET_LOTES'!$I$5:$I$204,MATCH(B162,'03_PET_LOTES'!$A$5:$A$204,0)),""))</x:f>
      </x:c>
      <x:c r="E162" s="134"/>
      <x:c r="F162" s="208" t="str">
        <x:f>IF(OR(D162="",E162="",D162=0),"",E162/D162)</x:f>
      </x:c>
      <x:c r="G162" s="136"/>
      <x:c r="H162" s="212" t="str">
        <x:f>IF(OR(E162="",G162="",G162=0),"",E162/G162)</x:f>
      </x:c>
      <x:c r="I162" s="34"/>
      <x:c r="J162" s="78"/>
      <x:c r="K162" s="34"/>
      <x:c r="L162" s="34"/>
      <x:c r="M162" s="34"/>
      <x:c r="N162" s="35"/>
    </x:row>
    <x:row r="163">
      <x:c r="A163" s="34"/>
      <x:c r="B163" s="34"/>
      <x:c r="C163" s="78"/>
      <x:c r="D163" s="200" t="str">
        <x:f>IF(B163="","",IFERROR(INDEX('03_PET_LOTES'!$I$5:$I$204,MATCH(B163,'03_PET_LOTES'!$A$5:$A$204,0)),""))</x:f>
      </x:c>
      <x:c r="E163" s="134"/>
      <x:c r="F163" s="208" t="str">
        <x:f>IF(OR(D163="",E163="",D163=0),"",E163/D163)</x:f>
      </x:c>
      <x:c r="G163" s="136"/>
      <x:c r="H163" s="212" t="str">
        <x:f>IF(OR(E163="",G163="",G163=0),"",E163/G163)</x:f>
      </x:c>
      <x:c r="I163" s="34"/>
      <x:c r="J163" s="78"/>
      <x:c r="K163" s="34"/>
      <x:c r="L163" s="34"/>
      <x:c r="M163" s="34"/>
      <x:c r="N163" s="35"/>
    </x:row>
    <x:row r="164">
      <x:c r="A164" s="34"/>
      <x:c r="B164" s="34"/>
      <x:c r="C164" s="78"/>
      <x:c r="D164" s="200" t="str">
        <x:f>IF(B164="","",IFERROR(INDEX('03_PET_LOTES'!$I$5:$I$204,MATCH(B164,'03_PET_LOTES'!$A$5:$A$204,0)),""))</x:f>
      </x:c>
      <x:c r="E164" s="134"/>
      <x:c r="F164" s="208" t="str">
        <x:f>IF(OR(D164="",E164="",D164=0),"",E164/D164)</x:f>
      </x:c>
      <x:c r="G164" s="136"/>
      <x:c r="H164" s="212" t="str">
        <x:f>IF(OR(E164="",G164="",G164=0),"",E164/G164)</x:f>
      </x:c>
      <x:c r="I164" s="34"/>
      <x:c r="J164" s="78"/>
      <x:c r="K164" s="34"/>
      <x:c r="L164" s="34"/>
      <x:c r="M164" s="34"/>
      <x:c r="N164" s="35"/>
    </x:row>
    <x:row r="165">
      <x:c r="A165" s="34"/>
      <x:c r="B165" s="34"/>
      <x:c r="C165" s="78"/>
      <x:c r="D165" s="200" t="str">
        <x:f>IF(B165="","",IFERROR(INDEX('03_PET_LOTES'!$I$5:$I$204,MATCH(B165,'03_PET_LOTES'!$A$5:$A$204,0)),""))</x:f>
      </x:c>
      <x:c r="E165" s="134"/>
      <x:c r="F165" s="208" t="str">
        <x:f>IF(OR(D165="",E165="",D165=0),"",E165/D165)</x:f>
      </x:c>
      <x:c r="G165" s="136"/>
      <x:c r="H165" s="212" t="str">
        <x:f>IF(OR(E165="",G165="",G165=0),"",E165/G165)</x:f>
      </x:c>
      <x:c r="I165" s="34"/>
      <x:c r="J165" s="78"/>
      <x:c r="K165" s="34"/>
      <x:c r="L165" s="34"/>
      <x:c r="M165" s="34"/>
      <x:c r="N165" s="35"/>
    </x:row>
    <x:row r="166">
      <x:c r="A166" s="34"/>
      <x:c r="B166" s="34"/>
      <x:c r="C166" s="78"/>
      <x:c r="D166" s="200" t="str">
        <x:f>IF(B166="","",IFERROR(INDEX('03_PET_LOTES'!$I$5:$I$204,MATCH(B166,'03_PET_LOTES'!$A$5:$A$204,0)),""))</x:f>
      </x:c>
      <x:c r="E166" s="134"/>
      <x:c r="F166" s="208" t="str">
        <x:f>IF(OR(D166="",E166="",D166=0),"",E166/D166)</x:f>
      </x:c>
      <x:c r="G166" s="136"/>
      <x:c r="H166" s="212" t="str">
        <x:f>IF(OR(E166="",G166="",G166=0),"",E166/G166)</x:f>
      </x:c>
      <x:c r="I166" s="34"/>
      <x:c r="J166" s="78"/>
      <x:c r="K166" s="34"/>
      <x:c r="L166" s="34"/>
      <x:c r="M166" s="34"/>
      <x:c r="N166" s="35"/>
    </x:row>
    <x:row r="167">
      <x:c r="A167" s="34"/>
      <x:c r="B167" s="34"/>
      <x:c r="C167" s="78"/>
      <x:c r="D167" s="200" t="str">
        <x:f>IF(B167="","",IFERROR(INDEX('03_PET_LOTES'!$I$5:$I$204,MATCH(B167,'03_PET_LOTES'!$A$5:$A$204,0)),""))</x:f>
      </x:c>
      <x:c r="E167" s="134"/>
      <x:c r="F167" s="208" t="str">
        <x:f>IF(OR(D167="",E167="",D167=0),"",E167/D167)</x:f>
      </x:c>
      <x:c r="G167" s="136"/>
      <x:c r="H167" s="212" t="str">
        <x:f>IF(OR(E167="",G167="",G167=0),"",E167/G167)</x:f>
      </x:c>
      <x:c r="I167" s="34"/>
      <x:c r="J167" s="78"/>
      <x:c r="K167" s="34"/>
      <x:c r="L167" s="34"/>
      <x:c r="M167" s="34"/>
      <x:c r="N167" s="35"/>
    </x:row>
    <x:row r="168">
      <x:c r="A168" s="34"/>
      <x:c r="B168" s="34"/>
      <x:c r="C168" s="78"/>
      <x:c r="D168" s="200" t="str">
        <x:f>IF(B168="","",IFERROR(INDEX('03_PET_LOTES'!$I$5:$I$204,MATCH(B168,'03_PET_LOTES'!$A$5:$A$204,0)),""))</x:f>
      </x:c>
      <x:c r="E168" s="134"/>
      <x:c r="F168" s="208" t="str">
        <x:f>IF(OR(D168="",E168="",D168=0),"",E168/D168)</x:f>
      </x:c>
      <x:c r="G168" s="136"/>
      <x:c r="H168" s="212" t="str">
        <x:f>IF(OR(E168="",G168="",G168=0),"",E168/G168)</x:f>
      </x:c>
      <x:c r="I168" s="34"/>
      <x:c r="J168" s="78"/>
      <x:c r="K168" s="34"/>
      <x:c r="L168" s="34"/>
      <x:c r="M168" s="34"/>
      <x:c r="N168" s="35"/>
    </x:row>
    <x:row r="169">
      <x:c r="A169" s="34"/>
      <x:c r="B169" s="34"/>
      <x:c r="C169" s="78"/>
      <x:c r="D169" s="200" t="str">
        <x:f>IF(B169="","",IFERROR(INDEX('03_PET_LOTES'!$I$5:$I$204,MATCH(B169,'03_PET_LOTES'!$A$5:$A$204,0)),""))</x:f>
      </x:c>
      <x:c r="E169" s="134"/>
      <x:c r="F169" s="208" t="str">
        <x:f>IF(OR(D169="",E169="",D169=0),"",E169/D169)</x:f>
      </x:c>
      <x:c r="G169" s="136"/>
      <x:c r="H169" s="212" t="str">
        <x:f>IF(OR(E169="",G169="",G169=0),"",E169/G169)</x:f>
      </x:c>
      <x:c r="I169" s="34"/>
      <x:c r="J169" s="78"/>
      <x:c r="K169" s="34"/>
      <x:c r="L169" s="34"/>
      <x:c r="M169" s="34"/>
      <x:c r="N169" s="35"/>
    </x:row>
    <x:row r="170">
      <x:c r="A170" s="34"/>
      <x:c r="B170" s="34"/>
      <x:c r="C170" s="78"/>
      <x:c r="D170" s="200" t="str">
        <x:f>IF(B170="","",IFERROR(INDEX('03_PET_LOTES'!$I$5:$I$204,MATCH(B170,'03_PET_LOTES'!$A$5:$A$204,0)),""))</x:f>
      </x:c>
      <x:c r="E170" s="134"/>
      <x:c r="F170" s="208" t="str">
        <x:f>IF(OR(D170="",E170="",D170=0),"",E170/D170)</x:f>
      </x:c>
      <x:c r="G170" s="136"/>
      <x:c r="H170" s="212" t="str">
        <x:f>IF(OR(E170="",G170="",G170=0),"",E170/G170)</x:f>
      </x:c>
      <x:c r="I170" s="34"/>
      <x:c r="J170" s="78"/>
      <x:c r="K170" s="34"/>
      <x:c r="L170" s="34"/>
      <x:c r="M170" s="34"/>
      <x:c r="N170" s="35"/>
    </x:row>
    <x:row r="171">
      <x:c r="A171" s="34"/>
      <x:c r="B171" s="34"/>
      <x:c r="C171" s="78"/>
      <x:c r="D171" s="200" t="str">
        <x:f>IF(B171="","",IFERROR(INDEX('03_PET_LOTES'!$I$5:$I$204,MATCH(B171,'03_PET_LOTES'!$A$5:$A$204,0)),""))</x:f>
      </x:c>
      <x:c r="E171" s="134"/>
      <x:c r="F171" s="208" t="str">
        <x:f>IF(OR(D171="",E171="",D171=0),"",E171/D171)</x:f>
      </x:c>
      <x:c r="G171" s="136"/>
      <x:c r="H171" s="212" t="str">
        <x:f>IF(OR(E171="",G171="",G171=0),"",E171/G171)</x:f>
      </x:c>
      <x:c r="I171" s="34"/>
      <x:c r="J171" s="78"/>
      <x:c r="K171" s="34"/>
      <x:c r="L171" s="34"/>
      <x:c r="M171" s="34"/>
      <x:c r="N171" s="35"/>
    </x:row>
    <x:row r="172">
      <x:c r="A172" s="34"/>
      <x:c r="B172" s="34"/>
      <x:c r="C172" s="78"/>
      <x:c r="D172" s="200" t="str">
        <x:f>IF(B172="","",IFERROR(INDEX('03_PET_LOTES'!$I$5:$I$204,MATCH(B172,'03_PET_LOTES'!$A$5:$A$204,0)),""))</x:f>
      </x:c>
      <x:c r="E172" s="134"/>
      <x:c r="F172" s="208" t="str">
        <x:f>IF(OR(D172="",E172="",D172=0),"",E172/D172)</x:f>
      </x:c>
      <x:c r="G172" s="136"/>
      <x:c r="H172" s="212" t="str">
        <x:f>IF(OR(E172="",G172="",G172=0),"",E172/G172)</x:f>
      </x:c>
      <x:c r="I172" s="34"/>
      <x:c r="J172" s="78"/>
      <x:c r="K172" s="34"/>
      <x:c r="L172" s="34"/>
      <x:c r="M172" s="34"/>
      <x:c r="N172" s="35"/>
    </x:row>
    <x:row r="173">
      <x:c r="A173" s="34"/>
      <x:c r="B173" s="34"/>
      <x:c r="C173" s="78"/>
      <x:c r="D173" s="200" t="str">
        <x:f>IF(B173="","",IFERROR(INDEX('03_PET_LOTES'!$I$5:$I$204,MATCH(B173,'03_PET_LOTES'!$A$5:$A$204,0)),""))</x:f>
      </x:c>
      <x:c r="E173" s="134"/>
      <x:c r="F173" s="208" t="str">
        <x:f>IF(OR(D173="",E173="",D173=0),"",E173/D173)</x:f>
      </x:c>
      <x:c r="G173" s="136"/>
      <x:c r="H173" s="212" t="str">
        <x:f>IF(OR(E173="",G173="",G173=0),"",E173/G173)</x:f>
      </x:c>
      <x:c r="I173" s="34"/>
      <x:c r="J173" s="78"/>
      <x:c r="K173" s="34"/>
      <x:c r="L173" s="34"/>
      <x:c r="M173" s="34"/>
      <x:c r="N173" s="35"/>
    </x:row>
    <x:row r="174">
      <x:c r="A174" s="34"/>
      <x:c r="B174" s="34"/>
      <x:c r="C174" s="78"/>
      <x:c r="D174" s="200" t="str">
        <x:f>IF(B174="","",IFERROR(INDEX('03_PET_LOTES'!$I$5:$I$204,MATCH(B174,'03_PET_LOTES'!$A$5:$A$204,0)),""))</x:f>
      </x:c>
      <x:c r="E174" s="134"/>
      <x:c r="F174" s="208" t="str">
        <x:f>IF(OR(D174="",E174="",D174=0),"",E174/D174)</x:f>
      </x:c>
      <x:c r="G174" s="136"/>
      <x:c r="H174" s="212" t="str">
        <x:f>IF(OR(E174="",G174="",G174=0),"",E174/G174)</x:f>
      </x:c>
      <x:c r="I174" s="34"/>
      <x:c r="J174" s="78"/>
      <x:c r="K174" s="34"/>
      <x:c r="L174" s="34"/>
      <x:c r="M174" s="34"/>
      <x:c r="N174" s="35"/>
    </x:row>
    <x:row r="175">
      <x:c r="A175" s="34"/>
      <x:c r="B175" s="34"/>
      <x:c r="C175" s="78"/>
      <x:c r="D175" s="200" t="str">
        <x:f>IF(B175="","",IFERROR(INDEX('03_PET_LOTES'!$I$5:$I$204,MATCH(B175,'03_PET_LOTES'!$A$5:$A$204,0)),""))</x:f>
      </x:c>
      <x:c r="E175" s="134"/>
      <x:c r="F175" s="208" t="str">
        <x:f>IF(OR(D175="",E175="",D175=0),"",E175/D175)</x:f>
      </x:c>
      <x:c r="G175" s="136"/>
      <x:c r="H175" s="212" t="str">
        <x:f>IF(OR(E175="",G175="",G175=0),"",E175/G175)</x:f>
      </x:c>
      <x:c r="I175" s="34"/>
      <x:c r="J175" s="78"/>
      <x:c r="K175" s="34"/>
      <x:c r="L175" s="34"/>
      <x:c r="M175" s="34"/>
      <x:c r="N175" s="35"/>
    </x:row>
    <x:row r="176">
      <x:c r="A176" s="34"/>
      <x:c r="B176" s="34"/>
      <x:c r="C176" s="78"/>
      <x:c r="D176" s="200" t="str">
        <x:f>IF(B176="","",IFERROR(INDEX('03_PET_LOTES'!$I$5:$I$204,MATCH(B176,'03_PET_LOTES'!$A$5:$A$204,0)),""))</x:f>
      </x:c>
      <x:c r="E176" s="134"/>
      <x:c r="F176" s="208" t="str">
        <x:f>IF(OR(D176="",E176="",D176=0),"",E176/D176)</x:f>
      </x:c>
      <x:c r="G176" s="136"/>
      <x:c r="H176" s="212" t="str">
        <x:f>IF(OR(E176="",G176="",G176=0),"",E176/G176)</x:f>
      </x:c>
      <x:c r="I176" s="34"/>
      <x:c r="J176" s="78"/>
      <x:c r="K176" s="34"/>
      <x:c r="L176" s="34"/>
      <x:c r="M176" s="34"/>
      <x:c r="N176" s="35"/>
    </x:row>
    <x:row r="177">
      <x:c r="A177" s="34"/>
      <x:c r="B177" s="34"/>
      <x:c r="C177" s="78"/>
      <x:c r="D177" s="200" t="str">
        <x:f>IF(B177="","",IFERROR(INDEX('03_PET_LOTES'!$I$5:$I$204,MATCH(B177,'03_PET_LOTES'!$A$5:$A$204,0)),""))</x:f>
      </x:c>
      <x:c r="E177" s="134"/>
      <x:c r="F177" s="208" t="str">
        <x:f>IF(OR(D177="",E177="",D177=0),"",E177/D177)</x:f>
      </x:c>
      <x:c r="G177" s="136"/>
      <x:c r="H177" s="212" t="str">
        <x:f>IF(OR(E177="",G177="",G177=0),"",E177/G177)</x:f>
      </x:c>
      <x:c r="I177" s="34"/>
      <x:c r="J177" s="78"/>
      <x:c r="K177" s="34"/>
      <x:c r="L177" s="34"/>
      <x:c r="M177" s="34"/>
      <x:c r="N177" s="35"/>
    </x:row>
    <x:row r="178">
      <x:c r="A178" s="34"/>
      <x:c r="B178" s="34"/>
      <x:c r="C178" s="78"/>
      <x:c r="D178" s="200" t="str">
        <x:f>IF(B178="","",IFERROR(INDEX('03_PET_LOTES'!$I$5:$I$204,MATCH(B178,'03_PET_LOTES'!$A$5:$A$204,0)),""))</x:f>
      </x:c>
      <x:c r="E178" s="134"/>
      <x:c r="F178" s="208" t="str">
        <x:f>IF(OR(D178="",E178="",D178=0),"",E178/D178)</x:f>
      </x:c>
      <x:c r="G178" s="136"/>
      <x:c r="H178" s="212" t="str">
        <x:f>IF(OR(E178="",G178="",G178=0),"",E178/G178)</x:f>
      </x:c>
      <x:c r="I178" s="34"/>
      <x:c r="J178" s="78"/>
      <x:c r="K178" s="34"/>
      <x:c r="L178" s="34"/>
      <x:c r="M178" s="34"/>
      <x:c r="N178" s="35"/>
    </x:row>
    <x:row r="179">
      <x:c r="A179" s="34"/>
      <x:c r="B179" s="34"/>
      <x:c r="C179" s="78"/>
      <x:c r="D179" s="200" t="str">
        <x:f>IF(B179="","",IFERROR(INDEX('03_PET_LOTES'!$I$5:$I$204,MATCH(B179,'03_PET_LOTES'!$A$5:$A$204,0)),""))</x:f>
      </x:c>
      <x:c r="E179" s="134"/>
      <x:c r="F179" s="208" t="str">
        <x:f>IF(OR(D179="",E179="",D179=0),"",E179/D179)</x:f>
      </x:c>
      <x:c r="G179" s="136"/>
      <x:c r="H179" s="212" t="str">
        <x:f>IF(OR(E179="",G179="",G179=0),"",E179/G179)</x:f>
      </x:c>
      <x:c r="I179" s="34"/>
      <x:c r="J179" s="78"/>
      <x:c r="K179" s="34"/>
      <x:c r="L179" s="34"/>
      <x:c r="M179" s="34"/>
      <x:c r="N179" s="35"/>
    </x:row>
    <x:row r="180">
      <x:c r="A180" s="34"/>
      <x:c r="B180" s="34"/>
      <x:c r="C180" s="78"/>
      <x:c r="D180" s="200" t="str">
        <x:f>IF(B180="","",IFERROR(INDEX('03_PET_LOTES'!$I$5:$I$204,MATCH(B180,'03_PET_LOTES'!$A$5:$A$204,0)),""))</x:f>
      </x:c>
      <x:c r="E180" s="134"/>
      <x:c r="F180" s="208" t="str">
        <x:f>IF(OR(D180="",E180="",D180=0),"",E180/D180)</x:f>
      </x:c>
      <x:c r="G180" s="136"/>
      <x:c r="H180" s="212" t="str">
        <x:f>IF(OR(E180="",G180="",G180=0),"",E180/G180)</x:f>
      </x:c>
      <x:c r="I180" s="34"/>
      <x:c r="J180" s="78"/>
      <x:c r="K180" s="34"/>
      <x:c r="L180" s="34"/>
      <x:c r="M180" s="34"/>
      <x:c r="N180" s="35"/>
    </x:row>
    <x:row r="181">
      <x:c r="A181" s="34"/>
      <x:c r="B181" s="34"/>
      <x:c r="C181" s="78"/>
      <x:c r="D181" s="200" t="str">
        <x:f>IF(B181="","",IFERROR(INDEX('03_PET_LOTES'!$I$5:$I$204,MATCH(B181,'03_PET_LOTES'!$A$5:$A$204,0)),""))</x:f>
      </x:c>
      <x:c r="E181" s="134"/>
      <x:c r="F181" s="208" t="str">
        <x:f>IF(OR(D181="",E181="",D181=0),"",E181/D181)</x:f>
      </x:c>
      <x:c r="G181" s="136"/>
      <x:c r="H181" s="212" t="str">
        <x:f>IF(OR(E181="",G181="",G181=0),"",E181/G181)</x:f>
      </x:c>
      <x:c r="I181" s="34"/>
      <x:c r="J181" s="78"/>
      <x:c r="K181" s="34"/>
      <x:c r="L181" s="34"/>
      <x:c r="M181" s="34"/>
      <x:c r="N181" s="35"/>
    </x:row>
    <x:row r="182">
      <x:c r="A182" s="34"/>
      <x:c r="B182" s="34"/>
      <x:c r="C182" s="78"/>
      <x:c r="D182" s="200" t="str">
        <x:f>IF(B182="","",IFERROR(INDEX('03_PET_LOTES'!$I$5:$I$204,MATCH(B182,'03_PET_LOTES'!$A$5:$A$204,0)),""))</x:f>
      </x:c>
      <x:c r="E182" s="134"/>
      <x:c r="F182" s="208" t="str">
        <x:f>IF(OR(D182="",E182="",D182=0),"",E182/D182)</x:f>
      </x:c>
      <x:c r="G182" s="136"/>
      <x:c r="H182" s="212" t="str">
        <x:f>IF(OR(E182="",G182="",G182=0),"",E182/G182)</x:f>
      </x:c>
      <x:c r="I182" s="34"/>
      <x:c r="J182" s="78"/>
      <x:c r="K182" s="34"/>
      <x:c r="L182" s="34"/>
      <x:c r="M182" s="34"/>
      <x:c r="N182" s="35"/>
    </x:row>
    <x:row r="183">
      <x:c r="A183" s="34"/>
      <x:c r="B183" s="34"/>
      <x:c r="C183" s="78"/>
      <x:c r="D183" s="200" t="str">
        <x:f>IF(B183="","",IFERROR(INDEX('03_PET_LOTES'!$I$5:$I$204,MATCH(B183,'03_PET_LOTES'!$A$5:$A$204,0)),""))</x:f>
      </x:c>
      <x:c r="E183" s="134"/>
      <x:c r="F183" s="208" t="str">
        <x:f>IF(OR(D183="",E183="",D183=0),"",E183/D183)</x:f>
      </x:c>
      <x:c r="G183" s="136"/>
      <x:c r="H183" s="212" t="str">
        <x:f>IF(OR(E183="",G183="",G183=0),"",E183/G183)</x:f>
      </x:c>
      <x:c r="I183" s="34"/>
      <x:c r="J183" s="78"/>
      <x:c r="K183" s="34"/>
      <x:c r="L183" s="34"/>
      <x:c r="M183" s="34"/>
      <x:c r="N183" s="35"/>
    </x:row>
    <x:row r="184">
      <x:c r="A184" s="34"/>
      <x:c r="B184" s="34"/>
      <x:c r="C184" s="78"/>
      <x:c r="D184" s="200" t="str">
        <x:f>IF(B184="","",IFERROR(INDEX('03_PET_LOTES'!$I$5:$I$204,MATCH(B184,'03_PET_LOTES'!$A$5:$A$204,0)),""))</x:f>
      </x:c>
      <x:c r="E184" s="134"/>
      <x:c r="F184" s="208" t="str">
        <x:f>IF(OR(D184="",E184="",D184=0),"",E184/D184)</x:f>
      </x:c>
      <x:c r="G184" s="136"/>
      <x:c r="H184" s="212" t="str">
        <x:f>IF(OR(E184="",G184="",G184=0),"",E184/G184)</x:f>
      </x:c>
      <x:c r="I184" s="34"/>
      <x:c r="J184" s="78"/>
      <x:c r="K184" s="34"/>
      <x:c r="L184" s="34"/>
      <x:c r="M184" s="34"/>
      <x:c r="N184" s="35"/>
    </x:row>
    <x:row r="185">
      <x:c r="A185" s="34"/>
      <x:c r="B185" s="34"/>
      <x:c r="C185" s="78"/>
      <x:c r="D185" s="200" t="str">
        <x:f>IF(B185="","",IFERROR(INDEX('03_PET_LOTES'!$I$5:$I$204,MATCH(B185,'03_PET_LOTES'!$A$5:$A$204,0)),""))</x:f>
      </x:c>
      <x:c r="E185" s="134"/>
      <x:c r="F185" s="208" t="str">
        <x:f>IF(OR(D185="",E185="",D185=0),"",E185/D185)</x:f>
      </x:c>
      <x:c r="G185" s="136"/>
      <x:c r="H185" s="212" t="str">
        <x:f>IF(OR(E185="",G185="",G185=0),"",E185/G185)</x:f>
      </x:c>
      <x:c r="I185" s="34"/>
      <x:c r="J185" s="78"/>
      <x:c r="K185" s="34"/>
      <x:c r="L185" s="34"/>
      <x:c r="M185" s="34"/>
      <x:c r="N185" s="35"/>
    </x:row>
    <x:row r="186">
      <x:c r="A186" s="34"/>
      <x:c r="B186" s="34"/>
      <x:c r="C186" s="78"/>
      <x:c r="D186" s="200" t="str">
        <x:f>IF(B186="","",IFERROR(INDEX('03_PET_LOTES'!$I$5:$I$204,MATCH(B186,'03_PET_LOTES'!$A$5:$A$204,0)),""))</x:f>
      </x:c>
      <x:c r="E186" s="134"/>
      <x:c r="F186" s="208" t="str">
        <x:f>IF(OR(D186="",E186="",D186=0),"",E186/D186)</x:f>
      </x:c>
      <x:c r="G186" s="136"/>
      <x:c r="H186" s="212" t="str">
        <x:f>IF(OR(E186="",G186="",G186=0),"",E186/G186)</x:f>
      </x:c>
      <x:c r="I186" s="34"/>
      <x:c r="J186" s="78"/>
      <x:c r="K186" s="34"/>
      <x:c r="L186" s="34"/>
      <x:c r="M186" s="34"/>
      <x:c r="N186" s="35"/>
    </x:row>
    <x:row r="187">
      <x:c r="A187" s="34"/>
      <x:c r="B187" s="34"/>
      <x:c r="C187" s="78"/>
      <x:c r="D187" s="200" t="str">
        <x:f>IF(B187="","",IFERROR(INDEX('03_PET_LOTES'!$I$5:$I$204,MATCH(B187,'03_PET_LOTES'!$A$5:$A$204,0)),""))</x:f>
      </x:c>
      <x:c r="E187" s="134"/>
      <x:c r="F187" s="208" t="str">
        <x:f>IF(OR(D187="",E187="",D187=0),"",E187/D187)</x:f>
      </x:c>
      <x:c r="G187" s="136"/>
      <x:c r="H187" s="212" t="str">
        <x:f>IF(OR(E187="",G187="",G187=0),"",E187/G187)</x:f>
      </x:c>
      <x:c r="I187" s="34"/>
      <x:c r="J187" s="78"/>
      <x:c r="K187" s="34"/>
      <x:c r="L187" s="34"/>
      <x:c r="M187" s="34"/>
      <x:c r="N187" s="35"/>
    </x:row>
    <x:row r="188">
      <x:c r="A188" s="34"/>
      <x:c r="B188" s="34"/>
      <x:c r="C188" s="78"/>
      <x:c r="D188" s="200" t="str">
        <x:f>IF(B188="","",IFERROR(INDEX('03_PET_LOTES'!$I$5:$I$204,MATCH(B188,'03_PET_LOTES'!$A$5:$A$204,0)),""))</x:f>
      </x:c>
      <x:c r="E188" s="134"/>
      <x:c r="F188" s="208" t="str">
        <x:f>IF(OR(D188="",E188="",D188=0),"",E188/D188)</x:f>
      </x:c>
      <x:c r="G188" s="136"/>
      <x:c r="H188" s="212" t="str">
        <x:f>IF(OR(E188="",G188="",G188=0),"",E188/G188)</x:f>
      </x:c>
      <x:c r="I188" s="34"/>
      <x:c r="J188" s="78"/>
      <x:c r="K188" s="34"/>
      <x:c r="L188" s="34"/>
      <x:c r="M188" s="34"/>
      <x:c r="N188" s="35"/>
    </x:row>
    <x:row r="189">
      <x:c r="A189" s="34"/>
      <x:c r="B189" s="34"/>
      <x:c r="C189" s="78"/>
      <x:c r="D189" s="200" t="str">
        <x:f>IF(B189="","",IFERROR(INDEX('03_PET_LOTES'!$I$5:$I$204,MATCH(B189,'03_PET_LOTES'!$A$5:$A$204,0)),""))</x:f>
      </x:c>
      <x:c r="E189" s="134"/>
      <x:c r="F189" s="208" t="str">
        <x:f>IF(OR(D189="",E189="",D189=0),"",E189/D189)</x:f>
      </x:c>
      <x:c r="G189" s="136"/>
      <x:c r="H189" s="212" t="str">
        <x:f>IF(OR(E189="",G189="",G189=0),"",E189/G189)</x:f>
      </x:c>
      <x:c r="I189" s="34"/>
      <x:c r="J189" s="78"/>
      <x:c r="K189" s="34"/>
      <x:c r="L189" s="34"/>
      <x:c r="M189" s="34"/>
      <x:c r="N189" s="35"/>
    </x:row>
    <x:row r="190">
      <x:c r="A190" s="34"/>
      <x:c r="B190" s="34"/>
      <x:c r="C190" s="78"/>
      <x:c r="D190" s="200" t="str">
        <x:f>IF(B190="","",IFERROR(INDEX('03_PET_LOTES'!$I$5:$I$204,MATCH(B190,'03_PET_LOTES'!$A$5:$A$204,0)),""))</x:f>
      </x:c>
      <x:c r="E190" s="134"/>
      <x:c r="F190" s="208" t="str">
        <x:f>IF(OR(D190="",E190="",D190=0),"",E190/D190)</x:f>
      </x:c>
      <x:c r="G190" s="136"/>
      <x:c r="H190" s="212" t="str">
        <x:f>IF(OR(E190="",G190="",G190=0),"",E190/G190)</x:f>
      </x:c>
      <x:c r="I190" s="34"/>
      <x:c r="J190" s="78"/>
      <x:c r="K190" s="34"/>
      <x:c r="L190" s="34"/>
      <x:c r="M190" s="34"/>
      <x:c r="N190" s="35"/>
    </x:row>
    <x:row r="191">
      <x:c r="A191" s="34"/>
      <x:c r="B191" s="34"/>
      <x:c r="C191" s="78"/>
      <x:c r="D191" s="200" t="str">
        <x:f>IF(B191="","",IFERROR(INDEX('03_PET_LOTES'!$I$5:$I$204,MATCH(B191,'03_PET_LOTES'!$A$5:$A$204,0)),""))</x:f>
      </x:c>
      <x:c r="E191" s="134"/>
      <x:c r="F191" s="208" t="str">
        <x:f>IF(OR(D191="",E191="",D191=0),"",E191/D191)</x:f>
      </x:c>
      <x:c r="G191" s="136"/>
      <x:c r="H191" s="212" t="str">
        <x:f>IF(OR(E191="",G191="",G191=0),"",E191/G191)</x:f>
      </x:c>
      <x:c r="I191" s="34"/>
      <x:c r="J191" s="78"/>
      <x:c r="K191" s="34"/>
      <x:c r="L191" s="34"/>
      <x:c r="M191" s="34"/>
      <x:c r="N191" s="35"/>
    </x:row>
    <x:row r="192">
      <x:c r="A192" s="34"/>
      <x:c r="B192" s="34"/>
      <x:c r="C192" s="78"/>
      <x:c r="D192" s="200" t="str">
        <x:f>IF(B192="","",IFERROR(INDEX('03_PET_LOTES'!$I$5:$I$204,MATCH(B192,'03_PET_LOTES'!$A$5:$A$204,0)),""))</x:f>
      </x:c>
      <x:c r="E192" s="134"/>
      <x:c r="F192" s="208" t="str">
        <x:f>IF(OR(D192="",E192="",D192=0),"",E192/D192)</x:f>
      </x:c>
      <x:c r="G192" s="136"/>
      <x:c r="H192" s="212" t="str">
        <x:f>IF(OR(E192="",G192="",G192=0),"",E192/G192)</x:f>
      </x:c>
      <x:c r="I192" s="34"/>
      <x:c r="J192" s="78"/>
      <x:c r="K192" s="34"/>
      <x:c r="L192" s="34"/>
      <x:c r="M192" s="34"/>
      <x:c r="N192" s="35"/>
    </x:row>
    <x:row r="193">
      <x:c r="A193" s="34"/>
      <x:c r="B193" s="34"/>
      <x:c r="C193" s="78"/>
      <x:c r="D193" s="200" t="str">
        <x:f>IF(B193="","",IFERROR(INDEX('03_PET_LOTES'!$I$5:$I$204,MATCH(B193,'03_PET_LOTES'!$A$5:$A$204,0)),""))</x:f>
      </x:c>
      <x:c r="E193" s="134"/>
      <x:c r="F193" s="208" t="str">
        <x:f>IF(OR(D193="",E193="",D193=0),"",E193/D193)</x:f>
      </x:c>
      <x:c r="G193" s="136"/>
      <x:c r="H193" s="212" t="str">
        <x:f>IF(OR(E193="",G193="",G193=0),"",E193/G193)</x:f>
      </x:c>
      <x:c r="I193" s="34"/>
      <x:c r="J193" s="78"/>
      <x:c r="K193" s="34"/>
      <x:c r="L193" s="34"/>
      <x:c r="M193" s="34"/>
      <x:c r="N193" s="35"/>
    </x:row>
    <x:row r="194">
      <x:c r="A194" s="34"/>
      <x:c r="B194" s="34"/>
      <x:c r="C194" s="78"/>
      <x:c r="D194" s="200" t="str">
        <x:f>IF(B194="","",IFERROR(INDEX('03_PET_LOTES'!$I$5:$I$204,MATCH(B194,'03_PET_LOTES'!$A$5:$A$204,0)),""))</x:f>
      </x:c>
      <x:c r="E194" s="134"/>
      <x:c r="F194" s="208" t="str">
        <x:f>IF(OR(D194="",E194="",D194=0),"",E194/D194)</x:f>
      </x:c>
      <x:c r="G194" s="136"/>
      <x:c r="H194" s="212" t="str">
        <x:f>IF(OR(E194="",G194="",G194=0),"",E194/G194)</x:f>
      </x:c>
      <x:c r="I194" s="34"/>
      <x:c r="J194" s="78"/>
      <x:c r="K194" s="34"/>
      <x:c r="L194" s="34"/>
      <x:c r="M194" s="34"/>
      <x:c r="N194" s="35"/>
    </x:row>
    <x:row r="195">
      <x:c r="A195" s="34"/>
      <x:c r="B195" s="34"/>
      <x:c r="C195" s="78"/>
      <x:c r="D195" s="200" t="str">
        <x:f>IF(B195="","",IFERROR(INDEX('03_PET_LOTES'!$I$5:$I$204,MATCH(B195,'03_PET_LOTES'!$A$5:$A$204,0)),""))</x:f>
      </x:c>
      <x:c r="E195" s="134"/>
      <x:c r="F195" s="208" t="str">
        <x:f>IF(OR(D195="",E195="",D195=0),"",E195/D195)</x:f>
      </x:c>
      <x:c r="G195" s="136"/>
      <x:c r="H195" s="212" t="str">
        <x:f>IF(OR(E195="",G195="",G195=0),"",E195/G195)</x:f>
      </x:c>
      <x:c r="I195" s="34"/>
      <x:c r="J195" s="78"/>
      <x:c r="K195" s="34"/>
      <x:c r="L195" s="34"/>
      <x:c r="M195" s="34"/>
      <x:c r="N195" s="35"/>
    </x:row>
    <x:row r="196">
      <x:c r="A196" s="34"/>
      <x:c r="B196" s="34"/>
      <x:c r="C196" s="78"/>
      <x:c r="D196" s="200" t="str">
        <x:f>IF(B196="","",IFERROR(INDEX('03_PET_LOTES'!$I$5:$I$204,MATCH(B196,'03_PET_LOTES'!$A$5:$A$204,0)),""))</x:f>
      </x:c>
      <x:c r="E196" s="134"/>
      <x:c r="F196" s="208" t="str">
        <x:f>IF(OR(D196="",E196="",D196=0),"",E196/D196)</x:f>
      </x:c>
      <x:c r="G196" s="136"/>
      <x:c r="H196" s="212" t="str">
        <x:f>IF(OR(E196="",G196="",G196=0),"",E196/G196)</x:f>
      </x:c>
      <x:c r="I196" s="34"/>
      <x:c r="J196" s="78"/>
      <x:c r="K196" s="34"/>
      <x:c r="L196" s="34"/>
      <x:c r="M196" s="34"/>
      <x:c r="N196" s="35"/>
    </x:row>
    <x:row r="197">
      <x:c r="A197" s="34"/>
      <x:c r="B197" s="34"/>
      <x:c r="C197" s="78"/>
      <x:c r="D197" s="200" t="str">
        <x:f>IF(B197="","",IFERROR(INDEX('03_PET_LOTES'!$I$5:$I$204,MATCH(B197,'03_PET_LOTES'!$A$5:$A$204,0)),""))</x:f>
      </x:c>
      <x:c r="E197" s="134"/>
      <x:c r="F197" s="208" t="str">
        <x:f>IF(OR(D197="",E197="",D197=0),"",E197/D197)</x:f>
      </x:c>
      <x:c r="G197" s="136"/>
      <x:c r="H197" s="212" t="str">
        <x:f>IF(OR(E197="",G197="",G197=0),"",E197/G197)</x:f>
      </x:c>
      <x:c r="I197" s="34"/>
      <x:c r="J197" s="78"/>
      <x:c r="K197" s="34"/>
      <x:c r="L197" s="34"/>
      <x:c r="M197" s="34"/>
      <x:c r="N197" s="35"/>
    </x:row>
    <x:row r="198">
      <x:c r="A198" s="34"/>
      <x:c r="B198" s="34"/>
      <x:c r="C198" s="78"/>
      <x:c r="D198" s="200" t="str">
        <x:f>IF(B198="","",IFERROR(INDEX('03_PET_LOTES'!$I$5:$I$204,MATCH(B198,'03_PET_LOTES'!$A$5:$A$204,0)),""))</x:f>
      </x:c>
      <x:c r="E198" s="134"/>
      <x:c r="F198" s="208" t="str">
        <x:f>IF(OR(D198="",E198="",D198=0),"",E198/D198)</x:f>
      </x:c>
      <x:c r="G198" s="136"/>
      <x:c r="H198" s="212" t="str">
        <x:f>IF(OR(E198="",G198="",G198=0),"",E198/G198)</x:f>
      </x:c>
      <x:c r="I198" s="34"/>
      <x:c r="J198" s="78"/>
      <x:c r="K198" s="34"/>
      <x:c r="L198" s="34"/>
      <x:c r="M198" s="34"/>
      <x:c r="N198" s="35"/>
    </x:row>
    <x:row r="199">
      <x:c r="A199" s="34"/>
      <x:c r="B199" s="34"/>
      <x:c r="C199" s="78"/>
      <x:c r="D199" s="200" t="str">
        <x:f>IF(B199="","",IFERROR(INDEX('03_PET_LOTES'!$I$5:$I$204,MATCH(B199,'03_PET_LOTES'!$A$5:$A$204,0)),""))</x:f>
      </x:c>
      <x:c r="E199" s="134"/>
      <x:c r="F199" s="208" t="str">
        <x:f>IF(OR(D199="",E199="",D199=0),"",E199/D199)</x:f>
      </x:c>
      <x:c r="G199" s="136"/>
      <x:c r="H199" s="212" t="str">
        <x:f>IF(OR(E199="",G199="",G199=0),"",E199/G199)</x:f>
      </x:c>
      <x:c r="I199" s="34"/>
      <x:c r="J199" s="78"/>
      <x:c r="K199" s="34"/>
      <x:c r="L199" s="34"/>
      <x:c r="M199" s="34"/>
      <x:c r="N199" s="35"/>
    </x:row>
    <x:row r="200">
      <x:c r="A200" s="34"/>
      <x:c r="B200" s="34"/>
      <x:c r="C200" s="78"/>
      <x:c r="D200" s="200" t="str">
        <x:f>IF(B200="","",IFERROR(INDEX('03_PET_LOTES'!$I$5:$I$204,MATCH(B200,'03_PET_LOTES'!$A$5:$A$204,0)),""))</x:f>
      </x:c>
      <x:c r="E200" s="134"/>
      <x:c r="F200" s="208" t="str">
        <x:f>IF(OR(D200="",E200="",D200=0),"",E200/D200)</x:f>
      </x:c>
      <x:c r="G200" s="136"/>
      <x:c r="H200" s="212" t="str">
        <x:f>IF(OR(E200="",G200="",G200=0),"",E200/G200)</x:f>
      </x:c>
      <x:c r="I200" s="34"/>
      <x:c r="J200" s="78"/>
      <x:c r="K200" s="34"/>
      <x:c r="L200" s="34"/>
      <x:c r="M200" s="34"/>
      <x:c r="N200" s="35"/>
    </x:row>
    <x:row r="201">
      <x:c r="A201" s="34"/>
      <x:c r="B201" s="34"/>
      <x:c r="C201" s="78"/>
      <x:c r="D201" s="200" t="str">
        <x:f>IF(B201="","",IFERROR(INDEX('03_PET_LOTES'!$I$5:$I$204,MATCH(B201,'03_PET_LOTES'!$A$5:$A$204,0)),""))</x:f>
      </x:c>
      <x:c r="E201" s="134"/>
      <x:c r="F201" s="208" t="str">
        <x:f>IF(OR(D201="",E201="",D201=0),"",E201/D201)</x:f>
      </x:c>
      <x:c r="G201" s="136"/>
      <x:c r="H201" s="212" t="str">
        <x:f>IF(OR(E201="",G201="",G201=0),"",E201/G201)</x:f>
      </x:c>
      <x:c r="I201" s="34"/>
      <x:c r="J201" s="78"/>
      <x:c r="K201" s="34"/>
      <x:c r="L201" s="34"/>
      <x:c r="M201" s="34"/>
      <x:c r="N201" s="35"/>
    </x:row>
    <x:row r="202">
      <x:c r="A202" s="34"/>
      <x:c r="B202" s="34"/>
      <x:c r="C202" s="78"/>
      <x:c r="D202" s="200" t="str">
        <x:f>IF(B202="","",IFERROR(INDEX('03_PET_LOTES'!$I$5:$I$204,MATCH(B202,'03_PET_LOTES'!$A$5:$A$204,0)),""))</x:f>
      </x:c>
      <x:c r="E202" s="134"/>
      <x:c r="F202" s="208" t="str">
        <x:f>IF(OR(D202="",E202="",D202=0),"",E202/D202)</x:f>
      </x:c>
      <x:c r="G202" s="136"/>
      <x:c r="H202" s="212" t="str">
        <x:f>IF(OR(E202="",G202="",G202=0),"",E202/G202)</x:f>
      </x:c>
      <x:c r="I202" s="34"/>
      <x:c r="J202" s="78"/>
      <x:c r="K202" s="34"/>
      <x:c r="L202" s="34"/>
      <x:c r="M202" s="34"/>
      <x:c r="N202" s="35"/>
    </x:row>
    <x:row r="203">
      <x:c r="A203" s="34"/>
      <x:c r="B203" s="34"/>
      <x:c r="C203" s="78"/>
      <x:c r="D203" s="200" t="str">
        <x:f>IF(B203="","",IFERROR(INDEX('03_PET_LOTES'!$I$5:$I$204,MATCH(B203,'03_PET_LOTES'!$A$5:$A$204,0)),""))</x:f>
      </x:c>
      <x:c r="E203" s="134"/>
      <x:c r="F203" s="208" t="str">
        <x:f>IF(OR(D203="",E203="",D203=0),"",E203/D203)</x:f>
      </x:c>
      <x:c r="G203" s="136"/>
      <x:c r="H203" s="212" t="str">
        <x:f>IF(OR(E203="",G203="",G203=0),"",E203/G203)</x:f>
      </x:c>
      <x:c r="I203" s="34"/>
      <x:c r="J203" s="78"/>
      <x:c r="K203" s="34"/>
      <x:c r="L203" s="34"/>
      <x:c r="M203" s="34"/>
      <x:c r="N203" s="35"/>
    </x:row>
    <x:row r="204">
      <x:c r="A204" s="36"/>
      <x:c r="B204" s="36"/>
      <x:c r="C204" s="82"/>
      <x:c r="D204" s="201" t="str">
        <x:f>IF(B204="","",IFERROR(INDEX('03_PET_LOTES'!$I$5:$I$204,MATCH(B204,'03_PET_LOTES'!$A$5:$A$204,0)),""))</x:f>
      </x:c>
      <x:c r="E204" s="138"/>
      <x:c r="F204" s="209" t="str">
        <x:f>IF(OR(D204="",E204="",D204=0),"",E204/D204)</x:f>
      </x:c>
      <x:c r="G204" s="140"/>
      <x:c r="H204" s="213" t="str">
        <x:f>IF(OR(E204="",G204="",G204=0),"",E204/G204)</x:f>
      </x:c>
      <x:c r="I204" s="36"/>
      <x:c r="J204" s="82"/>
      <x:c r="K204" s="36"/>
      <x:c r="L204" s="36"/>
      <x:c r="M204" s="36"/>
      <x:c r="N204" s="37"/>
    </x:row>
  </x:sheetData>
  <x:mergeCells>
    <x:mergeCell ref="A1:N1"/>
    <x:mergeCell ref="A2:N2"/>
  </x:mergeCells>
  <x:dataValidations count="1">
    <x:dataValidation type="list" sqref="K5:K204">
      <x:formula1>"PENDIENTE,LIQUIDADO,CONCILIADO,ANULADO"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98bc5f815e4b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4" hidden="0" customWidth="1"/>
    <x:col min="12" max="12" width="16" hidden="0" customWidth="1"/>
    <x:col min="13" max="13" width="20" hidden="0" customWidth="1"/>
    <x:col min="14" max="14" width="20" hidden="0" customWidth="1"/>
    <x:col min="15" max="15" width="22" hidden="0" customWidth="1"/>
    <x:col min="16" max="16" width="40" hidden="0" customWidth="1"/>
  </x:cols>
  <x:sheetData>
    <x:row r="1" ht="30" customHeight="1">
      <x:c r="A1" s="4" t="str">
        <x:v>Racha · Resultado verificable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1" t="str">
        <x:v>Una fila = resultado de período por jugador. Los pesos se toman de CONFIG y pueden corregirse sin reescribir históricos.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28" customHeight="1">
      <x:c r="A4" s="20" t="str">
        <x:v>racha_result_id</x:v>
      </x:c>
      <x:c r="B4" s="20" t="str">
        <x:v>player_id</x:v>
      </x:c>
      <x:c r="C4" s="20" t="str">
        <x:v>club_id</x:v>
      </x:c>
      <x:c r="D4" s="20" t="str">
        <x:v>periodo_inicio</x:v>
      </x:c>
      <x:c r="E4" s="20" t="str">
        <x:v>periodo_fin</x:v>
      </x:c>
      <x:c r="F4" s="20" t="str">
        <x:v>asistencia_pct</x:v>
      </x:c>
      <x:c r="G4" s="20" t="str">
        <x:v>neurocracks_pct</x:v>
      </x:c>
      <x:c r="H4" s="20" t="str">
        <x:v>retos_pct</x:v>
      </x:c>
      <x:c r="I4" s="20" t="str">
        <x:v>pet_pct</x:v>
      </x:c>
      <x:c r="J4" s="20" t="str">
        <x:v>validaciones_pct</x:v>
      </x:c>
      <x:c r="K4" s="20" t="str">
        <x:v>score_racha</x:v>
      </x:c>
      <x:c r="L4" s="20" t="str">
        <x:v>verified_week</x:v>
      </x:c>
      <x:c r="M4" s="20" t="str">
        <x:v>regla_version</x:v>
      </x:c>
      <x:c r="N4" s="20" t="str">
        <x:v>calculado_at</x:v>
      </x:c>
      <x:c r="O4" s="20" t="str">
        <x:v>correction_id</x:v>
      </x:c>
      <x:c r="P4" s="20" t="str">
        <x:v>observaciones</x:v>
      </x:c>
    </x:row>
    <x:row r="5">
      <x:c r="A5" s="34"/>
      <x:c r="B5" s="34"/>
      <x:c r="C5" s="34"/>
      <x:c r="D5" s="78"/>
      <x:c r="E5" s="78"/>
      <x:c r="F5" s="80"/>
      <x:c r="G5" s="80"/>
      <x:c r="H5" s="80"/>
      <x:c r="I5" s="80"/>
      <x:c r="J5" s="80"/>
      <x:c r="K5" s="196" t="str">
        <x:f>IF(COUNTA(F5:J5)=0,"",F5*'01_CONFIG'!$B$6+G5*'01_CONFIG'!$B$7+H5*'01_CONFIG'!$B$8+I5*'01_CONFIG'!$B$9+J5*'01_CONFIG'!$B$10)</x:f>
      </x:c>
      <x:c r="L5" s="34"/>
      <x:c r="M5" s="34"/>
      <x:c r="N5" s="172"/>
      <x:c r="O5" s="34"/>
      <x:c r="P5" s="35"/>
    </x:row>
    <x:row r="6">
      <x:c r="A6" s="34"/>
      <x:c r="B6" s="34"/>
      <x:c r="C6" s="34"/>
      <x:c r="D6" s="78"/>
      <x:c r="E6" s="78"/>
      <x:c r="F6" s="80"/>
      <x:c r="G6" s="80"/>
      <x:c r="H6" s="80"/>
      <x:c r="I6" s="80"/>
      <x:c r="J6" s="80"/>
      <x:c r="K6" s="196" t="str">
        <x:f>IF(COUNTA(F6:J6)=0,"",F6*'01_CONFIG'!$B$6+G6*'01_CONFIG'!$B$7+H6*'01_CONFIG'!$B$8+I6*'01_CONFIG'!$B$9+J6*'01_CONFIG'!$B$10)</x:f>
      </x:c>
      <x:c r="L6" s="34"/>
      <x:c r="M6" s="34"/>
      <x:c r="N6" s="172"/>
      <x:c r="O6" s="34"/>
      <x:c r="P6" s="35"/>
    </x:row>
    <x:row r="7">
      <x:c r="A7" s="34"/>
      <x:c r="B7" s="34"/>
      <x:c r="C7" s="34"/>
      <x:c r="D7" s="78"/>
      <x:c r="E7" s="78"/>
      <x:c r="F7" s="80"/>
      <x:c r="G7" s="80"/>
      <x:c r="H7" s="80"/>
      <x:c r="I7" s="80"/>
      <x:c r="J7" s="80"/>
      <x:c r="K7" s="196" t="str">
        <x:f>IF(COUNTA(F7:J7)=0,"",F7*'01_CONFIG'!$B$6+G7*'01_CONFIG'!$B$7+H7*'01_CONFIG'!$B$8+I7*'01_CONFIG'!$B$9+J7*'01_CONFIG'!$B$10)</x:f>
      </x:c>
      <x:c r="L7" s="34"/>
      <x:c r="M7" s="34"/>
      <x:c r="N7" s="172"/>
      <x:c r="O7" s="34"/>
      <x:c r="P7" s="35"/>
    </x:row>
    <x:row r="8">
      <x:c r="A8" s="34"/>
      <x:c r="B8" s="34"/>
      <x:c r="C8" s="34"/>
      <x:c r="D8" s="78"/>
      <x:c r="E8" s="78"/>
      <x:c r="F8" s="80"/>
      <x:c r="G8" s="80"/>
      <x:c r="H8" s="80"/>
      <x:c r="I8" s="80"/>
      <x:c r="J8" s="80"/>
      <x:c r="K8" s="196" t="str">
        <x:f>IF(COUNTA(F8:J8)=0,"",F8*'01_CONFIG'!$B$6+G8*'01_CONFIG'!$B$7+H8*'01_CONFIG'!$B$8+I8*'01_CONFIG'!$B$9+J8*'01_CONFIG'!$B$10)</x:f>
      </x:c>
      <x:c r="L8" s="34"/>
      <x:c r="M8" s="34"/>
      <x:c r="N8" s="172"/>
      <x:c r="O8" s="34"/>
      <x:c r="P8" s="35"/>
    </x:row>
    <x:row r="9">
      <x:c r="A9" s="34"/>
      <x:c r="B9" s="34"/>
      <x:c r="C9" s="34"/>
      <x:c r="D9" s="78"/>
      <x:c r="E9" s="78"/>
      <x:c r="F9" s="80"/>
      <x:c r="G9" s="80"/>
      <x:c r="H9" s="80"/>
      <x:c r="I9" s="80"/>
      <x:c r="J9" s="80"/>
      <x:c r="K9" s="196" t="str">
        <x:f>IF(COUNTA(F9:J9)=0,"",F9*'01_CONFIG'!$B$6+G9*'01_CONFIG'!$B$7+H9*'01_CONFIG'!$B$8+I9*'01_CONFIG'!$B$9+J9*'01_CONFIG'!$B$10)</x:f>
      </x:c>
      <x:c r="L9" s="34"/>
      <x:c r="M9" s="34"/>
      <x:c r="N9" s="172"/>
      <x:c r="O9" s="34"/>
      <x:c r="P9" s="35"/>
    </x:row>
    <x:row r="10">
      <x:c r="A10" s="34"/>
      <x:c r="B10" s="34"/>
      <x:c r="C10" s="34"/>
      <x:c r="D10" s="78"/>
      <x:c r="E10" s="78"/>
      <x:c r="F10" s="80"/>
      <x:c r="G10" s="80"/>
      <x:c r="H10" s="80"/>
      <x:c r="I10" s="80"/>
      <x:c r="J10" s="80"/>
      <x:c r="K10" s="196" t="str">
        <x:f>IF(COUNTA(F10:J10)=0,"",F10*'01_CONFIG'!$B$6+G10*'01_CONFIG'!$B$7+H10*'01_CONFIG'!$B$8+I10*'01_CONFIG'!$B$9+J10*'01_CONFIG'!$B$10)</x:f>
      </x:c>
      <x:c r="L10" s="34"/>
      <x:c r="M10" s="34"/>
      <x:c r="N10" s="172"/>
      <x:c r="O10" s="34"/>
      <x:c r="P10" s="35"/>
    </x:row>
    <x:row r="11">
      <x:c r="A11" s="34"/>
      <x:c r="B11" s="34"/>
      <x:c r="C11" s="34"/>
      <x:c r="D11" s="78"/>
      <x:c r="E11" s="78"/>
      <x:c r="F11" s="80"/>
      <x:c r="G11" s="80"/>
      <x:c r="H11" s="80"/>
      <x:c r="I11" s="80"/>
      <x:c r="J11" s="80"/>
      <x:c r="K11" s="196" t="str">
        <x:f>IF(COUNTA(F11:J11)=0,"",F11*'01_CONFIG'!$B$6+G11*'01_CONFIG'!$B$7+H11*'01_CONFIG'!$B$8+I11*'01_CONFIG'!$B$9+J11*'01_CONFIG'!$B$10)</x:f>
      </x:c>
      <x:c r="L11" s="34"/>
      <x:c r="M11" s="34"/>
      <x:c r="N11" s="172"/>
      <x:c r="O11" s="34"/>
      <x:c r="P11" s="35"/>
    </x:row>
    <x:row r="12">
      <x:c r="A12" s="34"/>
      <x:c r="B12" s="34"/>
      <x:c r="C12" s="34"/>
      <x:c r="D12" s="78"/>
      <x:c r="E12" s="78"/>
      <x:c r="F12" s="80"/>
      <x:c r="G12" s="80"/>
      <x:c r="H12" s="80"/>
      <x:c r="I12" s="80"/>
      <x:c r="J12" s="80"/>
      <x:c r="K12" s="196" t="str">
        <x:f>IF(COUNTA(F12:J12)=0,"",F12*'01_CONFIG'!$B$6+G12*'01_CONFIG'!$B$7+H12*'01_CONFIG'!$B$8+I12*'01_CONFIG'!$B$9+J12*'01_CONFIG'!$B$10)</x:f>
      </x:c>
      <x:c r="L12" s="34"/>
      <x:c r="M12" s="34"/>
      <x:c r="N12" s="172"/>
      <x:c r="O12" s="34"/>
      <x:c r="P12" s="35"/>
    </x:row>
    <x:row r="13">
      <x:c r="A13" s="34"/>
      <x:c r="B13" s="34"/>
      <x:c r="C13" s="34"/>
      <x:c r="D13" s="78"/>
      <x:c r="E13" s="78"/>
      <x:c r="F13" s="80"/>
      <x:c r="G13" s="80"/>
      <x:c r="H13" s="80"/>
      <x:c r="I13" s="80"/>
      <x:c r="J13" s="80"/>
      <x:c r="K13" s="196" t="str">
        <x:f>IF(COUNTA(F13:J13)=0,"",F13*'01_CONFIG'!$B$6+G13*'01_CONFIG'!$B$7+H13*'01_CONFIG'!$B$8+I13*'01_CONFIG'!$B$9+J13*'01_CONFIG'!$B$10)</x:f>
      </x:c>
      <x:c r="L13" s="34"/>
      <x:c r="M13" s="34"/>
      <x:c r="N13" s="172"/>
      <x:c r="O13" s="34"/>
      <x:c r="P13" s="35"/>
    </x:row>
    <x:row r="14">
      <x:c r="A14" s="34"/>
      <x:c r="B14" s="34"/>
      <x:c r="C14" s="34"/>
      <x:c r="D14" s="78"/>
      <x:c r="E14" s="78"/>
      <x:c r="F14" s="80"/>
      <x:c r="G14" s="80"/>
      <x:c r="H14" s="80"/>
      <x:c r="I14" s="80"/>
      <x:c r="J14" s="80"/>
      <x:c r="K14" s="196" t="str">
        <x:f>IF(COUNTA(F14:J14)=0,"",F14*'01_CONFIG'!$B$6+G14*'01_CONFIG'!$B$7+H14*'01_CONFIG'!$B$8+I14*'01_CONFIG'!$B$9+J14*'01_CONFIG'!$B$10)</x:f>
      </x:c>
      <x:c r="L14" s="34"/>
      <x:c r="M14" s="34"/>
      <x:c r="N14" s="172"/>
      <x:c r="O14" s="34"/>
      <x:c r="P14" s="35"/>
    </x:row>
    <x:row r="15">
      <x:c r="A15" s="34"/>
      <x:c r="B15" s="34"/>
      <x:c r="C15" s="34"/>
      <x:c r="D15" s="78"/>
      <x:c r="E15" s="78"/>
      <x:c r="F15" s="80"/>
      <x:c r="G15" s="80"/>
      <x:c r="H15" s="80"/>
      <x:c r="I15" s="80"/>
      <x:c r="J15" s="80"/>
      <x:c r="K15" s="196" t="str">
        <x:f>IF(COUNTA(F15:J15)=0,"",F15*'01_CONFIG'!$B$6+G15*'01_CONFIG'!$B$7+H15*'01_CONFIG'!$B$8+I15*'01_CONFIG'!$B$9+J15*'01_CONFIG'!$B$10)</x:f>
      </x:c>
      <x:c r="L15" s="34"/>
      <x:c r="M15" s="34"/>
      <x:c r="N15" s="172"/>
      <x:c r="O15" s="34"/>
      <x:c r="P15" s="35"/>
    </x:row>
    <x:row r="16">
      <x:c r="A16" s="34"/>
      <x:c r="B16" s="34"/>
      <x:c r="C16" s="34"/>
      <x:c r="D16" s="78"/>
      <x:c r="E16" s="78"/>
      <x:c r="F16" s="80"/>
      <x:c r="G16" s="80"/>
      <x:c r="H16" s="80"/>
      <x:c r="I16" s="80"/>
      <x:c r="J16" s="80"/>
      <x:c r="K16" s="196" t="str">
        <x:f>IF(COUNTA(F16:J16)=0,"",F16*'01_CONFIG'!$B$6+G16*'01_CONFIG'!$B$7+H16*'01_CONFIG'!$B$8+I16*'01_CONFIG'!$B$9+J16*'01_CONFIG'!$B$10)</x:f>
      </x:c>
      <x:c r="L16" s="34"/>
      <x:c r="M16" s="34"/>
      <x:c r="N16" s="172"/>
      <x:c r="O16" s="34"/>
      <x:c r="P16" s="35"/>
    </x:row>
    <x:row r="17">
      <x:c r="A17" s="34"/>
      <x:c r="B17" s="34"/>
      <x:c r="C17" s="34"/>
      <x:c r="D17" s="78"/>
      <x:c r="E17" s="78"/>
      <x:c r="F17" s="80"/>
      <x:c r="G17" s="80"/>
      <x:c r="H17" s="80"/>
      <x:c r="I17" s="80"/>
      <x:c r="J17" s="80"/>
      <x:c r="K17" s="196" t="str">
        <x:f>IF(COUNTA(F17:J17)=0,"",F17*'01_CONFIG'!$B$6+G17*'01_CONFIG'!$B$7+H17*'01_CONFIG'!$B$8+I17*'01_CONFIG'!$B$9+J17*'01_CONFIG'!$B$10)</x:f>
      </x:c>
      <x:c r="L17" s="34"/>
      <x:c r="M17" s="34"/>
      <x:c r="N17" s="172"/>
      <x:c r="O17" s="34"/>
      <x:c r="P17" s="35"/>
    </x:row>
    <x:row r="18">
      <x:c r="A18" s="34"/>
      <x:c r="B18" s="34"/>
      <x:c r="C18" s="34"/>
      <x:c r="D18" s="78"/>
      <x:c r="E18" s="78"/>
      <x:c r="F18" s="80"/>
      <x:c r="G18" s="80"/>
      <x:c r="H18" s="80"/>
      <x:c r="I18" s="80"/>
      <x:c r="J18" s="80"/>
      <x:c r="K18" s="196" t="str">
        <x:f>IF(COUNTA(F18:J18)=0,"",F18*'01_CONFIG'!$B$6+G18*'01_CONFIG'!$B$7+H18*'01_CONFIG'!$B$8+I18*'01_CONFIG'!$B$9+J18*'01_CONFIG'!$B$10)</x:f>
      </x:c>
      <x:c r="L18" s="34"/>
      <x:c r="M18" s="34"/>
      <x:c r="N18" s="172"/>
      <x:c r="O18" s="34"/>
      <x:c r="P18" s="35"/>
    </x:row>
    <x:row r="19">
      <x:c r="A19" s="34"/>
      <x:c r="B19" s="34"/>
      <x:c r="C19" s="34"/>
      <x:c r="D19" s="78"/>
      <x:c r="E19" s="78"/>
      <x:c r="F19" s="80"/>
      <x:c r="G19" s="80"/>
      <x:c r="H19" s="80"/>
      <x:c r="I19" s="80"/>
      <x:c r="J19" s="80"/>
      <x:c r="K19" s="196" t="str">
        <x:f>IF(COUNTA(F19:J19)=0,"",F19*'01_CONFIG'!$B$6+G19*'01_CONFIG'!$B$7+H19*'01_CONFIG'!$B$8+I19*'01_CONFIG'!$B$9+J19*'01_CONFIG'!$B$10)</x:f>
      </x:c>
      <x:c r="L19" s="34"/>
      <x:c r="M19" s="34"/>
      <x:c r="N19" s="172"/>
      <x:c r="O19" s="34"/>
      <x:c r="P19" s="35"/>
    </x:row>
    <x:row r="20">
      <x:c r="A20" s="34"/>
      <x:c r="B20" s="34"/>
      <x:c r="C20" s="34"/>
      <x:c r="D20" s="78"/>
      <x:c r="E20" s="78"/>
      <x:c r="F20" s="80"/>
      <x:c r="G20" s="80"/>
      <x:c r="H20" s="80"/>
      <x:c r="I20" s="80"/>
      <x:c r="J20" s="80"/>
      <x:c r="K20" s="196" t="str">
        <x:f>IF(COUNTA(F20:J20)=0,"",F20*'01_CONFIG'!$B$6+G20*'01_CONFIG'!$B$7+H20*'01_CONFIG'!$B$8+I20*'01_CONFIG'!$B$9+J20*'01_CONFIG'!$B$10)</x:f>
      </x:c>
      <x:c r="L20" s="34"/>
      <x:c r="M20" s="34"/>
      <x:c r="N20" s="172"/>
      <x:c r="O20" s="34"/>
      <x:c r="P20" s="35"/>
    </x:row>
    <x:row r="21">
      <x:c r="A21" s="34"/>
      <x:c r="B21" s="34"/>
      <x:c r="C21" s="34"/>
      <x:c r="D21" s="78"/>
      <x:c r="E21" s="78"/>
      <x:c r="F21" s="80"/>
      <x:c r="G21" s="80"/>
      <x:c r="H21" s="80"/>
      <x:c r="I21" s="80"/>
      <x:c r="J21" s="80"/>
      <x:c r="K21" s="196" t="str">
        <x:f>IF(COUNTA(F21:J21)=0,"",F21*'01_CONFIG'!$B$6+G21*'01_CONFIG'!$B$7+H21*'01_CONFIG'!$B$8+I21*'01_CONFIG'!$B$9+J21*'01_CONFIG'!$B$10)</x:f>
      </x:c>
      <x:c r="L21" s="34"/>
      <x:c r="M21" s="34"/>
      <x:c r="N21" s="172"/>
      <x:c r="O21" s="34"/>
      <x:c r="P21" s="35"/>
    </x:row>
    <x:row r="22">
      <x:c r="A22" s="34"/>
      <x:c r="B22" s="34"/>
      <x:c r="C22" s="34"/>
      <x:c r="D22" s="78"/>
      <x:c r="E22" s="78"/>
      <x:c r="F22" s="80"/>
      <x:c r="G22" s="80"/>
      <x:c r="H22" s="80"/>
      <x:c r="I22" s="80"/>
      <x:c r="J22" s="80"/>
      <x:c r="K22" s="196" t="str">
        <x:f>IF(COUNTA(F22:J22)=0,"",F22*'01_CONFIG'!$B$6+G22*'01_CONFIG'!$B$7+H22*'01_CONFIG'!$B$8+I22*'01_CONFIG'!$B$9+J22*'01_CONFIG'!$B$10)</x:f>
      </x:c>
      <x:c r="L22" s="34"/>
      <x:c r="M22" s="34"/>
      <x:c r="N22" s="172"/>
      <x:c r="O22" s="34"/>
      <x:c r="P22" s="35"/>
    </x:row>
    <x:row r="23">
      <x:c r="A23" s="34"/>
      <x:c r="B23" s="34"/>
      <x:c r="C23" s="34"/>
      <x:c r="D23" s="78"/>
      <x:c r="E23" s="78"/>
      <x:c r="F23" s="80"/>
      <x:c r="G23" s="80"/>
      <x:c r="H23" s="80"/>
      <x:c r="I23" s="80"/>
      <x:c r="J23" s="80"/>
      <x:c r="K23" s="196" t="str">
        <x:f>IF(COUNTA(F23:J23)=0,"",F23*'01_CONFIG'!$B$6+G23*'01_CONFIG'!$B$7+H23*'01_CONFIG'!$B$8+I23*'01_CONFIG'!$B$9+J23*'01_CONFIG'!$B$10)</x:f>
      </x:c>
      <x:c r="L23" s="34"/>
      <x:c r="M23" s="34"/>
      <x:c r="N23" s="172"/>
      <x:c r="O23" s="34"/>
      <x:c r="P23" s="35"/>
    </x:row>
    <x:row r="24">
      <x:c r="A24" s="34"/>
      <x:c r="B24" s="34"/>
      <x:c r="C24" s="34"/>
      <x:c r="D24" s="78"/>
      <x:c r="E24" s="78"/>
      <x:c r="F24" s="80"/>
      <x:c r="G24" s="80"/>
      <x:c r="H24" s="80"/>
      <x:c r="I24" s="80"/>
      <x:c r="J24" s="80"/>
      <x:c r="K24" s="196" t="str">
        <x:f>IF(COUNTA(F24:J24)=0,"",F24*'01_CONFIG'!$B$6+G24*'01_CONFIG'!$B$7+H24*'01_CONFIG'!$B$8+I24*'01_CONFIG'!$B$9+J24*'01_CONFIG'!$B$10)</x:f>
      </x:c>
      <x:c r="L24" s="34"/>
      <x:c r="M24" s="34"/>
      <x:c r="N24" s="172"/>
      <x:c r="O24" s="34"/>
      <x:c r="P24" s="35"/>
    </x:row>
    <x:row r="25">
      <x:c r="A25" s="34"/>
      <x:c r="B25" s="34"/>
      <x:c r="C25" s="34"/>
      <x:c r="D25" s="78"/>
      <x:c r="E25" s="78"/>
      <x:c r="F25" s="80"/>
      <x:c r="G25" s="80"/>
      <x:c r="H25" s="80"/>
      <x:c r="I25" s="80"/>
      <x:c r="J25" s="80"/>
      <x:c r="K25" s="196" t="str">
        <x:f>IF(COUNTA(F25:J25)=0,"",F25*'01_CONFIG'!$B$6+G25*'01_CONFIG'!$B$7+H25*'01_CONFIG'!$B$8+I25*'01_CONFIG'!$B$9+J25*'01_CONFIG'!$B$10)</x:f>
      </x:c>
      <x:c r="L25" s="34"/>
      <x:c r="M25" s="34"/>
      <x:c r="N25" s="172"/>
      <x:c r="O25" s="34"/>
      <x:c r="P25" s="35"/>
    </x:row>
    <x:row r="26">
      <x:c r="A26" s="34"/>
      <x:c r="B26" s="34"/>
      <x:c r="C26" s="34"/>
      <x:c r="D26" s="78"/>
      <x:c r="E26" s="78"/>
      <x:c r="F26" s="80"/>
      <x:c r="G26" s="80"/>
      <x:c r="H26" s="80"/>
      <x:c r="I26" s="80"/>
      <x:c r="J26" s="80"/>
      <x:c r="K26" s="196" t="str">
        <x:f>IF(COUNTA(F26:J26)=0,"",F26*'01_CONFIG'!$B$6+G26*'01_CONFIG'!$B$7+H26*'01_CONFIG'!$B$8+I26*'01_CONFIG'!$B$9+J26*'01_CONFIG'!$B$10)</x:f>
      </x:c>
      <x:c r="L26" s="34"/>
      <x:c r="M26" s="34"/>
      <x:c r="N26" s="172"/>
      <x:c r="O26" s="34"/>
      <x:c r="P26" s="35"/>
    </x:row>
    <x:row r="27">
      <x:c r="A27" s="34"/>
      <x:c r="B27" s="34"/>
      <x:c r="C27" s="34"/>
      <x:c r="D27" s="78"/>
      <x:c r="E27" s="78"/>
      <x:c r="F27" s="80"/>
      <x:c r="G27" s="80"/>
      <x:c r="H27" s="80"/>
      <x:c r="I27" s="80"/>
      <x:c r="J27" s="80"/>
      <x:c r="K27" s="196" t="str">
        <x:f>IF(COUNTA(F27:J27)=0,"",F27*'01_CONFIG'!$B$6+G27*'01_CONFIG'!$B$7+H27*'01_CONFIG'!$B$8+I27*'01_CONFIG'!$B$9+J27*'01_CONFIG'!$B$10)</x:f>
      </x:c>
      <x:c r="L27" s="34"/>
      <x:c r="M27" s="34"/>
      <x:c r="N27" s="172"/>
      <x:c r="O27" s="34"/>
      <x:c r="P27" s="35"/>
    </x:row>
    <x:row r="28">
      <x:c r="A28" s="34"/>
      <x:c r="B28" s="34"/>
      <x:c r="C28" s="34"/>
      <x:c r="D28" s="78"/>
      <x:c r="E28" s="78"/>
      <x:c r="F28" s="80"/>
      <x:c r="G28" s="80"/>
      <x:c r="H28" s="80"/>
      <x:c r="I28" s="80"/>
      <x:c r="J28" s="80"/>
      <x:c r="K28" s="196" t="str">
        <x:f>IF(COUNTA(F28:J28)=0,"",F28*'01_CONFIG'!$B$6+G28*'01_CONFIG'!$B$7+H28*'01_CONFIG'!$B$8+I28*'01_CONFIG'!$B$9+J28*'01_CONFIG'!$B$10)</x:f>
      </x:c>
      <x:c r="L28" s="34"/>
      <x:c r="M28" s="34"/>
      <x:c r="N28" s="172"/>
      <x:c r="O28" s="34"/>
      <x:c r="P28" s="35"/>
    </x:row>
    <x:row r="29">
      <x:c r="A29" s="34"/>
      <x:c r="B29" s="34"/>
      <x:c r="C29" s="34"/>
      <x:c r="D29" s="78"/>
      <x:c r="E29" s="78"/>
      <x:c r="F29" s="80"/>
      <x:c r="G29" s="80"/>
      <x:c r="H29" s="80"/>
      <x:c r="I29" s="80"/>
      <x:c r="J29" s="80"/>
      <x:c r="K29" s="196" t="str">
        <x:f>IF(COUNTA(F29:J29)=0,"",F29*'01_CONFIG'!$B$6+G29*'01_CONFIG'!$B$7+H29*'01_CONFIG'!$B$8+I29*'01_CONFIG'!$B$9+J29*'01_CONFIG'!$B$10)</x:f>
      </x:c>
      <x:c r="L29" s="34"/>
      <x:c r="M29" s="34"/>
      <x:c r="N29" s="172"/>
      <x:c r="O29" s="34"/>
      <x:c r="P29" s="35"/>
    </x:row>
    <x:row r="30">
      <x:c r="A30" s="34"/>
      <x:c r="B30" s="34"/>
      <x:c r="C30" s="34"/>
      <x:c r="D30" s="78"/>
      <x:c r="E30" s="78"/>
      <x:c r="F30" s="80"/>
      <x:c r="G30" s="80"/>
      <x:c r="H30" s="80"/>
      <x:c r="I30" s="80"/>
      <x:c r="J30" s="80"/>
      <x:c r="K30" s="196" t="str">
        <x:f>IF(COUNTA(F30:J30)=0,"",F30*'01_CONFIG'!$B$6+G30*'01_CONFIG'!$B$7+H30*'01_CONFIG'!$B$8+I30*'01_CONFIG'!$B$9+J30*'01_CONFIG'!$B$10)</x:f>
      </x:c>
      <x:c r="L30" s="34"/>
      <x:c r="M30" s="34"/>
      <x:c r="N30" s="172"/>
      <x:c r="O30" s="34"/>
      <x:c r="P30" s="35"/>
    </x:row>
    <x:row r="31">
      <x:c r="A31" s="34"/>
      <x:c r="B31" s="34"/>
      <x:c r="C31" s="34"/>
      <x:c r="D31" s="78"/>
      <x:c r="E31" s="78"/>
      <x:c r="F31" s="80"/>
      <x:c r="G31" s="80"/>
      <x:c r="H31" s="80"/>
      <x:c r="I31" s="80"/>
      <x:c r="J31" s="80"/>
      <x:c r="K31" s="196" t="str">
        <x:f>IF(COUNTA(F31:J31)=0,"",F31*'01_CONFIG'!$B$6+G31*'01_CONFIG'!$B$7+H31*'01_CONFIG'!$B$8+I31*'01_CONFIG'!$B$9+J31*'01_CONFIG'!$B$10)</x:f>
      </x:c>
      <x:c r="L31" s="34"/>
      <x:c r="M31" s="34"/>
      <x:c r="N31" s="172"/>
      <x:c r="O31" s="34"/>
      <x:c r="P31" s="35"/>
    </x:row>
    <x:row r="32">
      <x:c r="A32" s="34"/>
      <x:c r="B32" s="34"/>
      <x:c r="C32" s="34"/>
      <x:c r="D32" s="78"/>
      <x:c r="E32" s="78"/>
      <x:c r="F32" s="80"/>
      <x:c r="G32" s="80"/>
      <x:c r="H32" s="80"/>
      <x:c r="I32" s="80"/>
      <x:c r="J32" s="80"/>
      <x:c r="K32" s="196" t="str">
        <x:f>IF(COUNTA(F32:J32)=0,"",F32*'01_CONFIG'!$B$6+G32*'01_CONFIG'!$B$7+H32*'01_CONFIG'!$B$8+I32*'01_CONFIG'!$B$9+J32*'01_CONFIG'!$B$10)</x:f>
      </x:c>
      <x:c r="L32" s="34"/>
      <x:c r="M32" s="34"/>
      <x:c r="N32" s="172"/>
      <x:c r="O32" s="34"/>
      <x:c r="P32" s="35"/>
    </x:row>
    <x:row r="33">
      <x:c r="A33" s="34"/>
      <x:c r="B33" s="34"/>
      <x:c r="C33" s="34"/>
      <x:c r="D33" s="78"/>
      <x:c r="E33" s="78"/>
      <x:c r="F33" s="80"/>
      <x:c r="G33" s="80"/>
      <x:c r="H33" s="80"/>
      <x:c r="I33" s="80"/>
      <x:c r="J33" s="80"/>
      <x:c r="K33" s="196" t="str">
        <x:f>IF(COUNTA(F33:J33)=0,"",F33*'01_CONFIG'!$B$6+G33*'01_CONFIG'!$B$7+H33*'01_CONFIG'!$B$8+I33*'01_CONFIG'!$B$9+J33*'01_CONFIG'!$B$10)</x:f>
      </x:c>
      <x:c r="L33" s="34"/>
      <x:c r="M33" s="34"/>
      <x:c r="N33" s="172"/>
      <x:c r="O33" s="34"/>
      <x:c r="P33" s="35"/>
    </x:row>
    <x:row r="34">
      <x:c r="A34" s="34"/>
      <x:c r="B34" s="34"/>
      <x:c r="C34" s="34"/>
      <x:c r="D34" s="78"/>
      <x:c r="E34" s="78"/>
      <x:c r="F34" s="80"/>
      <x:c r="G34" s="80"/>
      <x:c r="H34" s="80"/>
      <x:c r="I34" s="80"/>
      <x:c r="J34" s="80"/>
      <x:c r="K34" s="196" t="str">
        <x:f>IF(COUNTA(F34:J34)=0,"",F34*'01_CONFIG'!$B$6+G34*'01_CONFIG'!$B$7+H34*'01_CONFIG'!$B$8+I34*'01_CONFIG'!$B$9+J34*'01_CONFIG'!$B$10)</x:f>
      </x:c>
      <x:c r="L34" s="34"/>
      <x:c r="M34" s="34"/>
      <x:c r="N34" s="172"/>
      <x:c r="O34" s="34"/>
      <x:c r="P34" s="35"/>
    </x:row>
    <x:row r="35">
      <x:c r="A35" s="34"/>
      <x:c r="B35" s="34"/>
      <x:c r="C35" s="34"/>
      <x:c r="D35" s="78"/>
      <x:c r="E35" s="78"/>
      <x:c r="F35" s="80"/>
      <x:c r="G35" s="80"/>
      <x:c r="H35" s="80"/>
      <x:c r="I35" s="80"/>
      <x:c r="J35" s="80"/>
      <x:c r="K35" s="196" t="str">
        <x:f>IF(COUNTA(F35:J35)=0,"",F35*'01_CONFIG'!$B$6+G35*'01_CONFIG'!$B$7+H35*'01_CONFIG'!$B$8+I35*'01_CONFIG'!$B$9+J35*'01_CONFIG'!$B$10)</x:f>
      </x:c>
      <x:c r="L35" s="34"/>
      <x:c r="M35" s="34"/>
      <x:c r="N35" s="172"/>
      <x:c r="O35" s="34"/>
      <x:c r="P35" s="35"/>
    </x:row>
    <x:row r="36">
      <x:c r="A36" s="34"/>
      <x:c r="B36" s="34"/>
      <x:c r="C36" s="34"/>
      <x:c r="D36" s="78"/>
      <x:c r="E36" s="78"/>
      <x:c r="F36" s="80"/>
      <x:c r="G36" s="80"/>
      <x:c r="H36" s="80"/>
      <x:c r="I36" s="80"/>
      <x:c r="J36" s="80"/>
      <x:c r="K36" s="196" t="str">
        <x:f>IF(COUNTA(F36:J36)=0,"",F36*'01_CONFIG'!$B$6+G36*'01_CONFIG'!$B$7+H36*'01_CONFIG'!$B$8+I36*'01_CONFIG'!$B$9+J36*'01_CONFIG'!$B$10)</x:f>
      </x:c>
      <x:c r="L36" s="34"/>
      <x:c r="M36" s="34"/>
      <x:c r="N36" s="172"/>
      <x:c r="O36" s="34"/>
      <x:c r="P36" s="35"/>
    </x:row>
    <x:row r="37">
      <x:c r="A37" s="34"/>
      <x:c r="B37" s="34"/>
      <x:c r="C37" s="34"/>
      <x:c r="D37" s="78"/>
      <x:c r="E37" s="78"/>
      <x:c r="F37" s="80"/>
      <x:c r="G37" s="80"/>
      <x:c r="H37" s="80"/>
      <x:c r="I37" s="80"/>
      <x:c r="J37" s="80"/>
      <x:c r="K37" s="196" t="str">
        <x:f>IF(COUNTA(F37:J37)=0,"",F37*'01_CONFIG'!$B$6+G37*'01_CONFIG'!$B$7+H37*'01_CONFIG'!$B$8+I37*'01_CONFIG'!$B$9+J37*'01_CONFIG'!$B$10)</x:f>
      </x:c>
      <x:c r="L37" s="34"/>
      <x:c r="M37" s="34"/>
      <x:c r="N37" s="172"/>
      <x:c r="O37" s="34"/>
      <x:c r="P37" s="35"/>
    </x:row>
    <x:row r="38">
      <x:c r="A38" s="34"/>
      <x:c r="B38" s="34"/>
      <x:c r="C38" s="34"/>
      <x:c r="D38" s="78"/>
      <x:c r="E38" s="78"/>
      <x:c r="F38" s="80"/>
      <x:c r="G38" s="80"/>
      <x:c r="H38" s="80"/>
      <x:c r="I38" s="80"/>
      <x:c r="J38" s="80"/>
      <x:c r="K38" s="196" t="str">
        <x:f>IF(COUNTA(F38:J38)=0,"",F38*'01_CONFIG'!$B$6+G38*'01_CONFIG'!$B$7+H38*'01_CONFIG'!$B$8+I38*'01_CONFIG'!$B$9+J38*'01_CONFIG'!$B$10)</x:f>
      </x:c>
      <x:c r="L38" s="34"/>
      <x:c r="M38" s="34"/>
      <x:c r="N38" s="172"/>
      <x:c r="O38" s="34"/>
      <x:c r="P38" s="35"/>
    </x:row>
    <x:row r="39">
      <x:c r="A39" s="34"/>
      <x:c r="B39" s="34"/>
      <x:c r="C39" s="34"/>
      <x:c r="D39" s="78"/>
      <x:c r="E39" s="78"/>
      <x:c r="F39" s="80"/>
      <x:c r="G39" s="80"/>
      <x:c r="H39" s="80"/>
      <x:c r="I39" s="80"/>
      <x:c r="J39" s="80"/>
      <x:c r="K39" s="196" t="str">
        <x:f>IF(COUNTA(F39:J39)=0,"",F39*'01_CONFIG'!$B$6+G39*'01_CONFIG'!$B$7+H39*'01_CONFIG'!$B$8+I39*'01_CONFIG'!$B$9+J39*'01_CONFIG'!$B$10)</x:f>
      </x:c>
      <x:c r="L39" s="34"/>
      <x:c r="M39" s="34"/>
      <x:c r="N39" s="172"/>
      <x:c r="O39" s="34"/>
      <x:c r="P39" s="35"/>
    </x:row>
    <x:row r="40">
      <x:c r="A40" s="34"/>
      <x:c r="B40" s="34"/>
      <x:c r="C40" s="34"/>
      <x:c r="D40" s="78"/>
      <x:c r="E40" s="78"/>
      <x:c r="F40" s="80"/>
      <x:c r="G40" s="80"/>
      <x:c r="H40" s="80"/>
      <x:c r="I40" s="80"/>
      <x:c r="J40" s="80"/>
      <x:c r="K40" s="196" t="str">
        <x:f>IF(COUNTA(F40:J40)=0,"",F40*'01_CONFIG'!$B$6+G40*'01_CONFIG'!$B$7+H40*'01_CONFIG'!$B$8+I40*'01_CONFIG'!$B$9+J40*'01_CONFIG'!$B$10)</x:f>
      </x:c>
      <x:c r="L40" s="34"/>
      <x:c r="M40" s="34"/>
      <x:c r="N40" s="172"/>
      <x:c r="O40" s="34"/>
      <x:c r="P40" s="35"/>
    </x:row>
    <x:row r="41">
      <x:c r="A41" s="34"/>
      <x:c r="B41" s="34"/>
      <x:c r="C41" s="34"/>
      <x:c r="D41" s="78"/>
      <x:c r="E41" s="78"/>
      <x:c r="F41" s="80"/>
      <x:c r="G41" s="80"/>
      <x:c r="H41" s="80"/>
      <x:c r="I41" s="80"/>
      <x:c r="J41" s="80"/>
      <x:c r="K41" s="196" t="str">
        <x:f>IF(COUNTA(F41:J41)=0,"",F41*'01_CONFIG'!$B$6+G41*'01_CONFIG'!$B$7+H41*'01_CONFIG'!$B$8+I41*'01_CONFIG'!$B$9+J41*'01_CONFIG'!$B$10)</x:f>
      </x:c>
      <x:c r="L41" s="34"/>
      <x:c r="M41" s="34"/>
      <x:c r="N41" s="172"/>
      <x:c r="O41" s="34"/>
      <x:c r="P41" s="35"/>
    </x:row>
    <x:row r="42">
      <x:c r="A42" s="34"/>
      <x:c r="B42" s="34"/>
      <x:c r="C42" s="34"/>
      <x:c r="D42" s="78"/>
      <x:c r="E42" s="78"/>
      <x:c r="F42" s="80"/>
      <x:c r="G42" s="80"/>
      <x:c r="H42" s="80"/>
      <x:c r="I42" s="80"/>
      <x:c r="J42" s="80"/>
      <x:c r="K42" s="196" t="str">
        <x:f>IF(COUNTA(F42:J42)=0,"",F42*'01_CONFIG'!$B$6+G42*'01_CONFIG'!$B$7+H42*'01_CONFIG'!$B$8+I42*'01_CONFIG'!$B$9+J42*'01_CONFIG'!$B$10)</x:f>
      </x:c>
      <x:c r="L42" s="34"/>
      <x:c r="M42" s="34"/>
      <x:c r="N42" s="172"/>
      <x:c r="O42" s="34"/>
      <x:c r="P42" s="35"/>
    </x:row>
    <x:row r="43">
      <x:c r="A43" s="34"/>
      <x:c r="B43" s="34"/>
      <x:c r="C43" s="34"/>
      <x:c r="D43" s="78"/>
      <x:c r="E43" s="78"/>
      <x:c r="F43" s="80"/>
      <x:c r="G43" s="80"/>
      <x:c r="H43" s="80"/>
      <x:c r="I43" s="80"/>
      <x:c r="J43" s="80"/>
      <x:c r="K43" s="196" t="str">
        <x:f>IF(COUNTA(F43:J43)=0,"",F43*'01_CONFIG'!$B$6+G43*'01_CONFIG'!$B$7+H43*'01_CONFIG'!$B$8+I43*'01_CONFIG'!$B$9+J43*'01_CONFIG'!$B$10)</x:f>
      </x:c>
      <x:c r="L43" s="34"/>
      <x:c r="M43" s="34"/>
      <x:c r="N43" s="172"/>
      <x:c r="O43" s="34"/>
      <x:c r="P43" s="35"/>
    </x:row>
    <x:row r="44">
      <x:c r="A44" s="34"/>
      <x:c r="B44" s="34"/>
      <x:c r="C44" s="34"/>
      <x:c r="D44" s="78"/>
      <x:c r="E44" s="78"/>
      <x:c r="F44" s="80"/>
      <x:c r="G44" s="80"/>
      <x:c r="H44" s="80"/>
      <x:c r="I44" s="80"/>
      <x:c r="J44" s="80"/>
      <x:c r="K44" s="196" t="str">
        <x:f>IF(COUNTA(F44:J44)=0,"",F44*'01_CONFIG'!$B$6+G44*'01_CONFIG'!$B$7+H44*'01_CONFIG'!$B$8+I44*'01_CONFIG'!$B$9+J44*'01_CONFIG'!$B$10)</x:f>
      </x:c>
      <x:c r="L44" s="34"/>
      <x:c r="M44" s="34"/>
      <x:c r="N44" s="172"/>
      <x:c r="O44" s="34"/>
      <x:c r="P44" s="35"/>
    </x:row>
    <x:row r="45">
      <x:c r="A45" s="34"/>
      <x:c r="B45" s="34"/>
      <x:c r="C45" s="34"/>
      <x:c r="D45" s="78"/>
      <x:c r="E45" s="78"/>
      <x:c r="F45" s="80"/>
      <x:c r="G45" s="80"/>
      <x:c r="H45" s="80"/>
      <x:c r="I45" s="80"/>
      <x:c r="J45" s="80"/>
      <x:c r="K45" s="196" t="str">
        <x:f>IF(COUNTA(F45:J45)=0,"",F45*'01_CONFIG'!$B$6+G45*'01_CONFIG'!$B$7+H45*'01_CONFIG'!$B$8+I45*'01_CONFIG'!$B$9+J45*'01_CONFIG'!$B$10)</x:f>
      </x:c>
      <x:c r="L45" s="34"/>
      <x:c r="M45" s="34"/>
      <x:c r="N45" s="172"/>
      <x:c r="O45" s="34"/>
      <x:c r="P45" s="35"/>
    </x:row>
    <x:row r="46">
      <x:c r="A46" s="34"/>
      <x:c r="B46" s="34"/>
      <x:c r="C46" s="34"/>
      <x:c r="D46" s="78"/>
      <x:c r="E46" s="78"/>
      <x:c r="F46" s="80"/>
      <x:c r="G46" s="80"/>
      <x:c r="H46" s="80"/>
      <x:c r="I46" s="80"/>
      <x:c r="J46" s="80"/>
      <x:c r="K46" s="196" t="str">
        <x:f>IF(COUNTA(F46:J46)=0,"",F46*'01_CONFIG'!$B$6+G46*'01_CONFIG'!$B$7+H46*'01_CONFIG'!$B$8+I46*'01_CONFIG'!$B$9+J46*'01_CONFIG'!$B$10)</x:f>
      </x:c>
      <x:c r="L46" s="34"/>
      <x:c r="M46" s="34"/>
      <x:c r="N46" s="172"/>
      <x:c r="O46" s="34"/>
      <x:c r="P46" s="35"/>
    </x:row>
    <x:row r="47">
      <x:c r="A47" s="34"/>
      <x:c r="B47" s="34"/>
      <x:c r="C47" s="34"/>
      <x:c r="D47" s="78"/>
      <x:c r="E47" s="78"/>
      <x:c r="F47" s="80"/>
      <x:c r="G47" s="80"/>
      <x:c r="H47" s="80"/>
      <x:c r="I47" s="80"/>
      <x:c r="J47" s="80"/>
      <x:c r="K47" s="196" t="str">
        <x:f>IF(COUNTA(F47:J47)=0,"",F47*'01_CONFIG'!$B$6+G47*'01_CONFIG'!$B$7+H47*'01_CONFIG'!$B$8+I47*'01_CONFIG'!$B$9+J47*'01_CONFIG'!$B$10)</x:f>
      </x:c>
      <x:c r="L47" s="34"/>
      <x:c r="M47" s="34"/>
      <x:c r="N47" s="172"/>
      <x:c r="O47" s="34"/>
      <x:c r="P47" s="35"/>
    </x:row>
    <x:row r="48">
      <x:c r="A48" s="34"/>
      <x:c r="B48" s="34"/>
      <x:c r="C48" s="34"/>
      <x:c r="D48" s="78"/>
      <x:c r="E48" s="78"/>
      <x:c r="F48" s="80"/>
      <x:c r="G48" s="80"/>
      <x:c r="H48" s="80"/>
      <x:c r="I48" s="80"/>
      <x:c r="J48" s="80"/>
      <x:c r="K48" s="196" t="str">
        <x:f>IF(COUNTA(F48:J48)=0,"",F48*'01_CONFIG'!$B$6+G48*'01_CONFIG'!$B$7+H48*'01_CONFIG'!$B$8+I48*'01_CONFIG'!$B$9+J48*'01_CONFIG'!$B$10)</x:f>
      </x:c>
      <x:c r="L48" s="34"/>
      <x:c r="M48" s="34"/>
      <x:c r="N48" s="172"/>
      <x:c r="O48" s="34"/>
      <x:c r="P48" s="35"/>
    </x:row>
    <x:row r="49">
      <x:c r="A49" s="34"/>
      <x:c r="B49" s="34"/>
      <x:c r="C49" s="34"/>
      <x:c r="D49" s="78"/>
      <x:c r="E49" s="78"/>
      <x:c r="F49" s="80"/>
      <x:c r="G49" s="80"/>
      <x:c r="H49" s="80"/>
      <x:c r="I49" s="80"/>
      <x:c r="J49" s="80"/>
      <x:c r="K49" s="196" t="str">
        <x:f>IF(COUNTA(F49:J49)=0,"",F49*'01_CONFIG'!$B$6+G49*'01_CONFIG'!$B$7+H49*'01_CONFIG'!$B$8+I49*'01_CONFIG'!$B$9+J49*'01_CONFIG'!$B$10)</x:f>
      </x:c>
      <x:c r="L49" s="34"/>
      <x:c r="M49" s="34"/>
      <x:c r="N49" s="172"/>
      <x:c r="O49" s="34"/>
      <x:c r="P49" s="35"/>
    </x:row>
    <x:row r="50">
      <x:c r="A50" s="34"/>
      <x:c r="B50" s="34"/>
      <x:c r="C50" s="34"/>
      <x:c r="D50" s="78"/>
      <x:c r="E50" s="78"/>
      <x:c r="F50" s="80"/>
      <x:c r="G50" s="80"/>
      <x:c r="H50" s="80"/>
      <x:c r="I50" s="80"/>
      <x:c r="J50" s="80"/>
      <x:c r="K50" s="196" t="str">
        <x:f>IF(COUNTA(F50:J50)=0,"",F50*'01_CONFIG'!$B$6+G50*'01_CONFIG'!$B$7+H50*'01_CONFIG'!$B$8+I50*'01_CONFIG'!$B$9+J50*'01_CONFIG'!$B$10)</x:f>
      </x:c>
      <x:c r="L50" s="34"/>
      <x:c r="M50" s="34"/>
      <x:c r="N50" s="172"/>
      <x:c r="O50" s="34"/>
      <x:c r="P50" s="35"/>
    </x:row>
    <x:row r="51">
      <x:c r="A51" s="34"/>
      <x:c r="B51" s="34"/>
      <x:c r="C51" s="34"/>
      <x:c r="D51" s="78"/>
      <x:c r="E51" s="78"/>
      <x:c r="F51" s="80"/>
      <x:c r="G51" s="80"/>
      <x:c r="H51" s="80"/>
      <x:c r="I51" s="80"/>
      <x:c r="J51" s="80"/>
      <x:c r="K51" s="196" t="str">
        <x:f>IF(COUNTA(F51:J51)=0,"",F51*'01_CONFIG'!$B$6+G51*'01_CONFIG'!$B$7+H51*'01_CONFIG'!$B$8+I51*'01_CONFIG'!$B$9+J51*'01_CONFIG'!$B$10)</x:f>
      </x:c>
      <x:c r="L51" s="34"/>
      <x:c r="M51" s="34"/>
      <x:c r="N51" s="172"/>
      <x:c r="O51" s="34"/>
      <x:c r="P51" s="35"/>
    </x:row>
    <x:row r="52">
      <x:c r="A52" s="34"/>
      <x:c r="B52" s="34"/>
      <x:c r="C52" s="34"/>
      <x:c r="D52" s="78"/>
      <x:c r="E52" s="78"/>
      <x:c r="F52" s="80"/>
      <x:c r="G52" s="80"/>
      <x:c r="H52" s="80"/>
      <x:c r="I52" s="80"/>
      <x:c r="J52" s="80"/>
      <x:c r="K52" s="196" t="str">
        <x:f>IF(COUNTA(F52:J52)=0,"",F52*'01_CONFIG'!$B$6+G52*'01_CONFIG'!$B$7+H52*'01_CONFIG'!$B$8+I52*'01_CONFIG'!$B$9+J52*'01_CONFIG'!$B$10)</x:f>
      </x:c>
      <x:c r="L52" s="34"/>
      <x:c r="M52" s="34"/>
      <x:c r="N52" s="172"/>
      <x:c r="O52" s="34"/>
      <x:c r="P52" s="35"/>
    </x:row>
    <x:row r="53">
      <x:c r="A53" s="34"/>
      <x:c r="B53" s="34"/>
      <x:c r="C53" s="34"/>
      <x:c r="D53" s="78"/>
      <x:c r="E53" s="78"/>
      <x:c r="F53" s="80"/>
      <x:c r="G53" s="80"/>
      <x:c r="H53" s="80"/>
      <x:c r="I53" s="80"/>
      <x:c r="J53" s="80"/>
      <x:c r="K53" s="196" t="str">
        <x:f>IF(COUNTA(F53:J53)=0,"",F53*'01_CONFIG'!$B$6+G53*'01_CONFIG'!$B$7+H53*'01_CONFIG'!$B$8+I53*'01_CONFIG'!$B$9+J53*'01_CONFIG'!$B$10)</x:f>
      </x:c>
      <x:c r="L53" s="34"/>
      <x:c r="M53" s="34"/>
      <x:c r="N53" s="172"/>
      <x:c r="O53" s="34"/>
      <x:c r="P53" s="35"/>
    </x:row>
    <x:row r="54">
      <x:c r="A54" s="34"/>
      <x:c r="B54" s="34"/>
      <x:c r="C54" s="34"/>
      <x:c r="D54" s="78"/>
      <x:c r="E54" s="78"/>
      <x:c r="F54" s="80"/>
      <x:c r="G54" s="80"/>
      <x:c r="H54" s="80"/>
      <x:c r="I54" s="80"/>
      <x:c r="J54" s="80"/>
      <x:c r="K54" s="196" t="str">
        <x:f>IF(COUNTA(F54:J54)=0,"",F54*'01_CONFIG'!$B$6+G54*'01_CONFIG'!$B$7+H54*'01_CONFIG'!$B$8+I54*'01_CONFIG'!$B$9+J54*'01_CONFIG'!$B$10)</x:f>
      </x:c>
      <x:c r="L54" s="34"/>
      <x:c r="M54" s="34"/>
      <x:c r="N54" s="172"/>
      <x:c r="O54" s="34"/>
      <x:c r="P54" s="35"/>
    </x:row>
    <x:row r="55">
      <x:c r="A55" s="34"/>
      <x:c r="B55" s="34"/>
      <x:c r="C55" s="34"/>
      <x:c r="D55" s="78"/>
      <x:c r="E55" s="78"/>
      <x:c r="F55" s="80"/>
      <x:c r="G55" s="80"/>
      <x:c r="H55" s="80"/>
      <x:c r="I55" s="80"/>
      <x:c r="J55" s="80"/>
      <x:c r="K55" s="196" t="str">
        <x:f>IF(COUNTA(F55:J55)=0,"",F55*'01_CONFIG'!$B$6+G55*'01_CONFIG'!$B$7+H55*'01_CONFIG'!$B$8+I55*'01_CONFIG'!$B$9+J55*'01_CONFIG'!$B$10)</x:f>
      </x:c>
      <x:c r="L55" s="34"/>
      <x:c r="M55" s="34"/>
      <x:c r="N55" s="172"/>
      <x:c r="O55" s="34"/>
      <x:c r="P55" s="35"/>
    </x:row>
    <x:row r="56">
      <x:c r="A56" s="34"/>
      <x:c r="B56" s="34"/>
      <x:c r="C56" s="34"/>
      <x:c r="D56" s="78"/>
      <x:c r="E56" s="78"/>
      <x:c r="F56" s="80"/>
      <x:c r="G56" s="80"/>
      <x:c r="H56" s="80"/>
      <x:c r="I56" s="80"/>
      <x:c r="J56" s="80"/>
      <x:c r="K56" s="196" t="str">
        <x:f>IF(COUNTA(F56:J56)=0,"",F56*'01_CONFIG'!$B$6+G56*'01_CONFIG'!$B$7+H56*'01_CONFIG'!$B$8+I56*'01_CONFIG'!$B$9+J56*'01_CONFIG'!$B$10)</x:f>
      </x:c>
      <x:c r="L56" s="34"/>
      <x:c r="M56" s="34"/>
      <x:c r="N56" s="172"/>
      <x:c r="O56" s="34"/>
      <x:c r="P56" s="35"/>
    </x:row>
    <x:row r="57">
      <x:c r="A57" s="34"/>
      <x:c r="B57" s="34"/>
      <x:c r="C57" s="34"/>
      <x:c r="D57" s="78"/>
      <x:c r="E57" s="78"/>
      <x:c r="F57" s="80"/>
      <x:c r="G57" s="80"/>
      <x:c r="H57" s="80"/>
      <x:c r="I57" s="80"/>
      <x:c r="J57" s="80"/>
      <x:c r="K57" s="196" t="str">
        <x:f>IF(COUNTA(F57:J57)=0,"",F57*'01_CONFIG'!$B$6+G57*'01_CONFIG'!$B$7+H57*'01_CONFIG'!$B$8+I57*'01_CONFIG'!$B$9+J57*'01_CONFIG'!$B$10)</x:f>
      </x:c>
      <x:c r="L57" s="34"/>
      <x:c r="M57" s="34"/>
      <x:c r="N57" s="172"/>
      <x:c r="O57" s="34"/>
      <x:c r="P57" s="35"/>
    </x:row>
    <x:row r="58">
      <x:c r="A58" s="34"/>
      <x:c r="B58" s="34"/>
      <x:c r="C58" s="34"/>
      <x:c r="D58" s="78"/>
      <x:c r="E58" s="78"/>
      <x:c r="F58" s="80"/>
      <x:c r="G58" s="80"/>
      <x:c r="H58" s="80"/>
      <x:c r="I58" s="80"/>
      <x:c r="J58" s="80"/>
      <x:c r="K58" s="196" t="str">
        <x:f>IF(COUNTA(F58:J58)=0,"",F58*'01_CONFIG'!$B$6+G58*'01_CONFIG'!$B$7+H58*'01_CONFIG'!$B$8+I58*'01_CONFIG'!$B$9+J58*'01_CONFIG'!$B$10)</x:f>
      </x:c>
      <x:c r="L58" s="34"/>
      <x:c r="M58" s="34"/>
      <x:c r="N58" s="172"/>
      <x:c r="O58" s="34"/>
      <x:c r="P58" s="35"/>
    </x:row>
    <x:row r="59">
      <x:c r="A59" s="34"/>
      <x:c r="B59" s="34"/>
      <x:c r="C59" s="34"/>
      <x:c r="D59" s="78"/>
      <x:c r="E59" s="78"/>
      <x:c r="F59" s="80"/>
      <x:c r="G59" s="80"/>
      <x:c r="H59" s="80"/>
      <x:c r="I59" s="80"/>
      <x:c r="J59" s="80"/>
      <x:c r="K59" s="196" t="str">
        <x:f>IF(COUNTA(F59:J59)=0,"",F59*'01_CONFIG'!$B$6+G59*'01_CONFIG'!$B$7+H59*'01_CONFIG'!$B$8+I59*'01_CONFIG'!$B$9+J59*'01_CONFIG'!$B$10)</x:f>
      </x:c>
      <x:c r="L59" s="34"/>
      <x:c r="M59" s="34"/>
      <x:c r="N59" s="172"/>
      <x:c r="O59" s="34"/>
      <x:c r="P59" s="35"/>
    </x:row>
    <x:row r="60">
      <x:c r="A60" s="34"/>
      <x:c r="B60" s="34"/>
      <x:c r="C60" s="34"/>
      <x:c r="D60" s="78"/>
      <x:c r="E60" s="78"/>
      <x:c r="F60" s="80"/>
      <x:c r="G60" s="80"/>
      <x:c r="H60" s="80"/>
      <x:c r="I60" s="80"/>
      <x:c r="J60" s="80"/>
      <x:c r="K60" s="196" t="str">
        <x:f>IF(COUNTA(F60:J60)=0,"",F60*'01_CONFIG'!$B$6+G60*'01_CONFIG'!$B$7+H60*'01_CONFIG'!$B$8+I60*'01_CONFIG'!$B$9+J60*'01_CONFIG'!$B$10)</x:f>
      </x:c>
      <x:c r="L60" s="34"/>
      <x:c r="M60" s="34"/>
      <x:c r="N60" s="172"/>
      <x:c r="O60" s="34"/>
      <x:c r="P60" s="35"/>
    </x:row>
    <x:row r="61">
      <x:c r="A61" s="34"/>
      <x:c r="B61" s="34"/>
      <x:c r="C61" s="34"/>
      <x:c r="D61" s="78"/>
      <x:c r="E61" s="78"/>
      <x:c r="F61" s="80"/>
      <x:c r="G61" s="80"/>
      <x:c r="H61" s="80"/>
      <x:c r="I61" s="80"/>
      <x:c r="J61" s="80"/>
      <x:c r="K61" s="196" t="str">
        <x:f>IF(COUNTA(F61:J61)=0,"",F61*'01_CONFIG'!$B$6+G61*'01_CONFIG'!$B$7+H61*'01_CONFIG'!$B$8+I61*'01_CONFIG'!$B$9+J61*'01_CONFIG'!$B$10)</x:f>
      </x:c>
      <x:c r="L61" s="34"/>
      <x:c r="M61" s="34"/>
      <x:c r="N61" s="172"/>
      <x:c r="O61" s="34"/>
      <x:c r="P61" s="35"/>
    </x:row>
    <x:row r="62">
      <x:c r="A62" s="34"/>
      <x:c r="B62" s="34"/>
      <x:c r="C62" s="34"/>
      <x:c r="D62" s="78"/>
      <x:c r="E62" s="78"/>
      <x:c r="F62" s="80"/>
      <x:c r="G62" s="80"/>
      <x:c r="H62" s="80"/>
      <x:c r="I62" s="80"/>
      <x:c r="J62" s="80"/>
      <x:c r="K62" s="196" t="str">
        <x:f>IF(COUNTA(F62:J62)=0,"",F62*'01_CONFIG'!$B$6+G62*'01_CONFIG'!$B$7+H62*'01_CONFIG'!$B$8+I62*'01_CONFIG'!$B$9+J62*'01_CONFIG'!$B$10)</x:f>
      </x:c>
      <x:c r="L62" s="34"/>
      <x:c r="M62" s="34"/>
      <x:c r="N62" s="172"/>
      <x:c r="O62" s="34"/>
      <x:c r="P62" s="35"/>
    </x:row>
    <x:row r="63">
      <x:c r="A63" s="34"/>
      <x:c r="B63" s="34"/>
      <x:c r="C63" s="34"/>
      <x:c r="D63" s="78"/>
      <x:c r="E63" s="78"/>
      <x:c r="F63" s="80"/>
      <x:c r="G63" s="80"/>
      <x:c r="H63" s="80"/>
      <x:c r="I63" s="80"/>
      <x:c r="J63" s="80"/>
      <x:c r="K63" s="196" t="str">
        <x:f>IF(COUNTA(F63:J63)=0,"",F63*'01_CONFIG'!$B$6+G63*'01_CONFIG'!$B$7+H63*'01_CONFIG'!$B$8+I63*'01_CONFIG'!$B$9+J63*'01_CONFIG'!$B$10)</x:f>
      </x:c>
      <x:c r="L63" s="34"/>
      <x:c r="M63" s="34"/>
      <x:c r="N63" s="172"/>
      <x:c r="O63" s="34"/>
      <x:c r="P63" s="35"/>
    </x:row>
    <x:row r="64">
      <x:c r="A64" s="34"/>
      <x:c r="B64" s="34"/>
      <x:c r="C64" s="34"/>
      <x:c r="D64" s="78"/>
      <x:c r="E64" s="78"/>
      <x:c r="F64" s="80"/>
      <x:c r="G64" s="80"/>
      <x:c r="H64" s="80"/>
      <x:c r="I64" s="80"/>
      <x:c r="J64" s="80"/>
      <x:c r="K64" s="196" t="str">
        <x:f>IF(COUNTA(F64:J64)=0,"",F64*'01_CONFIG'!$B$6+G64*'01_CONFIG'!$B$7+H64*'01_CONFIG'!$B$8+I64*'01_CONFIG'!$B$9+J64*'01_CONFIG'!$B$10)</x:f>
      </x:c>
      <x:c r="L64" s="34"/>
      <x:c r="M64" s="34"/>
      <x:c r="N64" s="172"/>
      <x:c r="O64" s="34"/>
      <x:c r="P64" s="35"/>
    </x:row>
    <x:row r="65">
      <x:c r="A65" s="34"/>
      <x:c r="B65" s="34"/>
      <x:c r="C65" s="34"/>
      <x:c r="D65" s="78"/>
      <x:c r="E65" s="78"/>
      <x:c r="F65" s="80"/>
      <x:c r="G65" s="80"/>
      <x:c r="H65" s="80"/>
      <x:c r="I65" s="80"/>
      <x:c r="J65" s="80"/>
      <x:c r="K65" s="196" t="str">
        <x:f>IF(COUNTA(F65:J65)=0,"",F65*'01_CONFIG'!$B$6+G65*'01_CONFIG'!$B$7+H65*'01_CONFIG'!$B$8+I65*'01_CONFIG'!$B$9+J65*'01_CONFIG'!$B$10)</x:f>
      </x:c>
      <x:c r="L65" s="34"/>
      <x:c r="M65" s="34"/>
      <x:c r="N65" s="172"/>
      <x:c r="O65" s="34"/>
      <x:c r="P65" s="35"/>
    </x:row>
    <x:row r="66">
      <x:c r="A66" s="34"/>
      <x:c r="B66" s="34"/>
      <x:c r="C66" s="34"/>
      <x:c r="D66" s="78"/>
      <x:c r="E66" s="78"/>
      <x:c r="F66" s="80"/>
      <x:c r="G66" s="80"/>
      <x:c r="H66" s="80"/>
      <x:c r="I66" s="80"/>
      <x:c r="J66" s="80"/>
      <x:c r="K66" s="196" t="str">
        <x:f>IF(COUNTA(F66:J66)=0,"",F66*'01_CONFIG'!$B$6+G66*'01_CONFIG'!$B$7+H66*'01_CONFIG'!$B$8+I66*'01_CONFIG'!$B$9+J66*'01_CONFIG'!$B$10)</x:f>
      </x:c>
      <x:c r="L66" s="34"/>
      <x:c r="M66" s="34"/>
      <x:c r="N66" s="172"/>
      <x:c r="O66" s="34"/>
      <x:c r="P66" s="35"/>
    </x:row>
    <x:row r="67">
      <x:c r="A67" s="34"/>
      <x:c r="B67" s="34"/>
      <x:c r="C67" s="34"/>
      <x:c r="D67" s="78"/>
      <x:c r="E67" s="78"/>
      <x:c r="F67" s="80"/>
      <x:c r="G67" s="80"/>
      <x:c r="H67" s="80"/>
      <x:c r="I67" s="80"/>
      <x:c r="J67" s="80"/>
      <x:c r="K67" s="196" t="str">
        <x:f>IF(COUNTA(F67:J67)=0,"",F67*'01_CONFIG'!$B$6+G67*'01_CONFIG'!$B$7+H67*'01_CONFIG'!$B$8+I67*'01_CONFIG'!$B$9+J67*'01_CONFIG'!$B$10)</x:f>
      </x:c>
      <x:c r="L67" s="34"/>
      <x:c r="M67" s="34"/>
      <x:c r="N67" s="172"/>
      <x:c r="O67" s="34"/>
      <x:c r="P67" s="35"/>
    </x:row>
    <x:row r="68">
      <x:c r="A68" s="34"/>
      <x:c r="B68" s="34"/>
      <x:c r="C68" s="34"/>
      <x:c r="D68" s="78"/>
      <x:c r="E68" s="78"/>
      <x:c r="F68" s="80"/>
      <x:c r="G68" s="80"/>
      <x:c r="H68" s="80"/>
      <x:c r="I68" s="80"/>
      <x:c r="J68" s="80"/>
      <x:c r="K68" s="196" t="str">
        <x:f>IF(COUNTA(F68:J68)=0,"",F68*'01_CONFIG'!$B$6+G68*'01_CONFIG'!$B$7+H68*'01_CONFIG'!$B$8+I68*'01_CONFIG'!$B$9+J68*'01_CONFIG'!$B$10)</x:f>
      </x:c>
      <x:c r="L68" s="34"/>
      <x:c r="M68" s="34"/>
      <x:c r="N68" s="172"/>
      <x:c r="O68" s="34"/>
      <x:c r="P68" s="35"/>
    </x:row>
    <x:row r="69">
      <x:c r="A69" s="34"/>
      <x:c r="B69" s="34"/>
      <x:c r="C69" s="34"/>
      <x:c r="D69" s="78"/>
      <x:c r="E69" s="78"/>
      <x:c r="F69" s="80"/>
      <x:c r="G69" s="80"/>
      <x:c r="H69" s="80"/>
      <x:c r="I69" s="80"/>
      <x:c r="J69" s="80"/>
      <x:c r="K69" s="196" t="str">
        <x:f>IF(COUNTA(F69:J69)=0,"",F69*'01_CONFIG'!$B$6+G69*'01_CONFIG'!$B$7+H69*'01_CONFIG'!$B$8+I69*'01_CONFIG'!$B$9+J69*'01_CONFIG'!$B$10)</x:f>
      </x:c>
      <x:c r="L69" s="34"/>
      <x:c r="M69" s="34"/>
      <x:c r="N69" s="172"/>
      <x:c r="O69" s="34"/>
      <x:c r="P69" s="35"/>
    </x:row>
    <x:row r="70">
      <x:c r="A70" s="34"/>
      <x:c r="B70" s="34"/>
      <x:c r="C70" s="34"/>
      <x:c r="D70" s="78"/>
      <x:c r="E70" s="78"/>
      <x:c r="F70" s="80"/>
      <x:c r="G70" s="80"/>
      <x:c r="H70" s="80"/>
      <x:c r="I70" s="80"/>
      <x:c r="J70" s="80"/>
      <x:c r="K70" s="196" t="str">
        <x:f>IF(COUNTA(F70:J70)=0,"",F70*'01_CONFIG'!$B$6+G70*'01_CONFIG'!$B$7+H70*'01_CONFIG'!$B$8+I70*'01_CONFIG'!$B$9+J70*'01_CONFIG'!$B$10)</x:f>
      </x:c>
      <x:c r="L70" s="34"/>
      <x:c r="M70" s="34"/>
      <x:c r="N70" s="172"/>
      <x:c r="O70" s="34"/>
      <x:c r="P70" s="35"/>
    </x:row>
    <x:row r="71">
      <x:c r="A71" s="34"/>
      <x:c r="B71" s="34"/>
      <x:c r="C71" s="34"/>
      <x:c r="D71" s="78"/>
      <x:c r="E71" s="78"/>
      <x:c r="F71" s="80"/>
      <x:c r="G71" s="80"/>
      <x:c r="H71" s="80"/>
      <x:c r="I71" s="80"/>
      <x:c r="J71" s="80"/>
      <x:c r="K71" s="196" t="str">
        <x:f>IF(COUNTA(F71:J71)=0,"",F71*'01_CONFIG'!$B$6+G71*'01_CONFIG'!$B$7+H71*'01_CONFIG'!$B$8+I71*'01_CONFIG'!$B$9+J71*'01_CONFIG'!$B$10)</x:f>
      </x:c>
      <x:c r="L71" s="34"/>
      <x:c r="M71" s="34"/>
      <x:c r="N71" s="172"/>
      <x:c r="O71" s="34"/>
      <x:c r="P71" s="35"/>
    </x:row>
    <x:row r="72">
      <x:c r="A72" s="34"/>
      <x:c r="B72" s="34"/>
      <x:c r="C72" s="34"/>
      <x:c r="D72" s="78"/>
      <x:c r="E72" s="78"/>
      <x:c r="F72" s="80"/>
      <x:c r="G72" s="80"/>
      <x:c r="H72" s="80"/>
      <x:c r="I72" s="80"/>
      <x:c r="J72" s="80"/>
      <x:c r="K72" s="196" t="str">
        <x:f>IF(COUNTA(F72:J72)=0,"",F72*'01_CONFIG'!$B$6+G72*'01_CONFIG'!$B$7+H72*'01_CONFIG'!$B$8+I72*'01_CONFIG'!$B$9+J72*'01_CONFIG'!$B$10)</x:f>
      </x:c>
      <x:c r="L72" s="34"/>
      <x:c r="M72" s="34"/>
      <x:c r="N72" s="172"/>
      <x:c r="O72" s="34"/>
      <x:c r="P72" s="35"/>
    </x:row>
    <x:row r="73">
      <x:c r="A73" s="34"/>
      <x:c r="B73" s="34"/>
      <x:c r="C73" s="34"/>
      <x:c r="D73" s="78"/>
      <x:c r="E73" s="78"/>
      <x:c r="F73" s="80"/>
      <x:c r="G73" s="80"/>
      <x:c r="H73" s="80"/>
      <x:c r="I73" s="80"/>
      <x:c r="J73" s="80"/>
      <x:c r="K73" s="196" t="str">
        <x:f>IF(COUNTA(F73:J73)=0,"",F73*'01_CONFIG'!$B$6+G73*'01_CONFIG'!$B$7+H73*'01_CONFIG'!$B$8+I73*'01_CONFIG'!$B$9+J73*'01_CONFIG'!$B$10)</x:f>
      </x:c>
      <x:c r="L73" s="34"/>
      <x:c r="M73" s="34"/>
      <x:c r="N73" s="172"/>
      <x:c r="O73" s="34"/>
      <x:c r="P73" s="35"/>
    </x:row>
    <x:row r="74">
      <x:c r="A74" s="34"/>
      <x:c r="B74" s="34"/>
      <x:c r="C74" s="34"/>
      <x:c r="D74" s="78"/>
      <x:c r="E74" s="78"/>
      <x:c r="F74" s="80"/>
      <x:c r="G74" s="80"/>
      <x:c r="H74" s="80"/>
      <x:c r="I74" s="80"/>
      <x:c r="J74" s="80"/>
      <x:c r="K74" s="196" t="str">
        <x:f>IF(COUNTA(F74:J74)=0,"",F74*'01_CONFIG'!$B$6+G74*'01_CONFIG'!$B$7+H74*'01_CONFIG'!$B$8+I74*'01_CONFIG'!$B$9+J74*'01_CONFIG'!$B$10)</x:f>
      </x:c>
      <x:c r="L74" s="34"/>
      <x:c r="M74" s="34"/>
      <x:c r="N74" s="172"/>
      <x:c r="O74" s="34"/>
      <x:c r="P74" s="35"/>
    </x:row>
    <x:row r="75">
      <x:c r="A75" s="34"/>
      <x:c r="B75" s="34"/>
      <x:c r="C75" s="34"/>
      <x:c r="D75" s="78"/>
      <x:c r="E75" s="78"/>
      <x:c r="F75" s="80"/>
      <x:c r="G75" s="80"/>
      <x:c r="H75" s="80"/>
      <x:c r="I75" s="80"/>
      <x:c r="J75" s="80"/>
      <x:c r="K75" s="196" t="str">
        <x:f>IF(COUNTA(F75:J75)=0,"",F75*'01_CONFIG'!$B$6+G75*'01_CONFIG'!$B$7+H75*'01_CONFIG'!$B$8+I75*'01_CONFIG'!$B$9+J75*'01_CONFIG'!$B$10)</x:f>
      </x:c>
      <x:c r="L75" s="34"/>
      <x:c r="M75" s="34"/>
      <x:c r="N75" s="172"/>
      <x:c r="O75" s="34"/>
      <x:c r="P75" s="35"/>
    </x:row>
    <x:row r="76">
      <x:c r="A76" s="34"/>
      <x:c r="B76" s="34"/>
      <x:c r="C76" s="34"/>
      <x:c r="D76" s="78"/>
      <x:c r="E76" s="78"/>
      <x:c r="F76" s="80"/>
      <x:c r="G76" s="80"/>
      <x:c r="H76" s="80"/>
      <x:c r="I76" s="80"/>
      <x:c r="J76" s="80"/>
      <x:c r="K76" s="196" t="str">
        <x:f>IF(COUNTA(F76:J76)=0,"",F76*'01_CONFIG'!$B$6+G76*'01_CONFIG'!$B$7+H76*'01_CONFIG'!$B$8+I76*'01_CONFIG'!$B$9+J76*'01_CONFIG'!$B$10)</x:f>
      </x:c>
      <x:c r="L76" s="34"/>
      <x:c r="M76" s="34"/>
      <x:c r="N76" s="172"/>
      <x:c r="O76" s="34"/>
      <x:c r="P76" s="35"/>
    </x:row>
    <x:row r="77">
      <x:c r="A77" s="34"/>
      <x:c r="B77" s="34"/>
      <x:c r="C77" s="34"/>
      <x:c r="D77" s="78"/>
      <x:c r="E77" s="78"/>
      <x:c r="F77" s="80"/>
      <x:c r="G77" s="80"/>
      <x:c r="H77" s="80"/>
      <x:c r="I77" s="80"/>
      <x:c r="J77" s="80"/>
      <x:c r="K77" s="196" t="str">
        <x:f>IF(COUNTA(F77:J77)=0,"",F77*'01_CONFIG'!$B$6+G77*'01_CONFIG'!$B$7+H77*'01_CONFIG'!$B$8+I77*'01_CONFIG'!$B$9+J77*'01_CONFIG'!$B$10)</x:f>
      </x:c>
      <x:c r="L77" s="34"/>
      <x:c r="M77" s="34"/>
      <x:c r="N77" s="172"/>
      <x:c r="O77" s="34"/>
      <x:c r="P77" s="35"/>
    </x:row>
    <x:row r="78">
      <x:c r="A78" s="34"/>
      <x:c r="B78" s="34"/>
      <x:c r="C78" s="34"/>
      <x:c r="D78" s="78"/>
      <x:c r="E78" s="78"/>
      <x:c r="F78" s="80"/>
      <x:c r="G78" s="80"/>
      <x:c r="H78" s="80"/>
      <x:c r="I78" s="80"/>
      <x:c r="J78" s="80"/>
      <x:c r="K78" s="196" t="str">
        <x:f>IF(COUNTA(F78:J78)=0,"",F78*'01_CONFIG'!$B$6+G78*'01_CONFIG'!$B$7+H78*'01_CONFIG'!$B$8+I78*'01_CONFIG'!$B$9+J78*'01_CONFIG'!$B$10)</x:f>
      </x:c>
      <x:c r="L78" s="34"/>
      <x:c r="M78" s="34"/>
      <x:c r="N78" s="172"/>
      <x:c r="O78" s="34"/>
      <x:c r="P78" s="35"/>
    </x:row>
    <x:row r="79">
      <x:c r="A79" s="34"/>
      <x:c r="B79" s="34"/>
      <x:c r="C79" s="34"/>
      <x:c r="D79" s="78"/>
      <x:c r="E79" s="78"/>
      <x:c r="F79" s="80"/>
      <x:c r="G79" s="80"/>
      <x:c r="H79" s="80"/>
      <x:c r="I79" s="80"/>
      <x:c r="J79" s="80"/>
      <x:c r="K79" s="196" t="str">
        <x:f>IF(COUNTA(F79:J79)=0,"",F79*'01_CONFIG'!$B$6+G79*'01_CONFIG'!$B$7+H79*'01_CONFIG'!$B$8+I79*'01_CONFIG'!$B$9+J79*'01_CONFIG'!$B$10)</x:f>
      </x:c>
      <x:c r="L79" s="34"/>
      <x:c r="M79" s="34"/>
      <x:c r="N79" s="172"/>
      <x:c r="O79" s="34"/>
      <x:c r="P79" s="35"/>
    </x:row>
    <x:row r="80">
      <x:c r="A80" s="34"/>
      <x:c r="B80" s="34"/>
      <x:c r="C80" s="34"/>
      <x:c r="D80" s="78"/>
      <x:c r="E80" s="78"/>
      <x:c r="F80" s="80"/>
      <x:c r="G80" s="80"/>
      <x:c r="H80" s="80"/>
      <x:c r="I80" s="80"/>
      <x:c r="J80" s="80"/>
      <x:c r="K80" s="196" t="str">
        <x:f>IF(COUNTA(F80:J80)=0,"",F80*'01_CONFIG'!$B$6+G80*'01_CONFIG'!$B$7+H80*'01_CONFIG'!$B$8+I80*'01_CONFIG'!$B$9+J80*'01_CONFIG'!$B$10)</x:f>
      </x:c>
      <x:c r="L80" s="34"/>
      <x:c r="M80" s="34"/>
      <x:c r="N80" s="172"/>
      <x:c r="O80" s="34"/>
      <x:c r="P80" s="35"/>
    </x:row>
    <x:row r="81">
      <x:c r="A81" s="34"/>
      <x:c r="B81" s="34"/>
      <x:c r="C81" s="34"/>
      <x:c r="D81" s="78"/>
      <x:c r="E81" s="78"/>
      <x:c r="F81" s="80"/>
      <x:c r="G81" s="80"/>
      <x:c r="H81" s="80"/>
      <x:c r="I81" s="80"/>
      <x:c r="J81" s="80"/>
      <x:c r="K81" s="196" t="str">
        <x:f>IF(COUNTA(F81:J81)=0,"",F81*'01_CONFIG'!$B$6+G81*'01_CONFIG'!$B$7+H81*'01_CONFIG'!$B$8+I81*'01_CONFIG'!$B$9+J81*'01_CONFIG'!$B$10)</x:f>
      </x:c>
      <x:c r="L81" s="34"/>
      <x:c r="M81" s="34"/>
      <x:c r="N81" s="172"/>
      <x:c r="O81" s="34"/>
      <x:c r="P81" s="35"/>
    </x:row>
    <x:row r="82">
      <x:c r="A82" s="34"/>
      <x:c r="B82" s="34"/>
      <x:c r="C82" s="34"/>
      <x:c r="D82" s="78"/>
      <x:c r="E82" s="78"/>
      <x:c r="F82" s="80"/>
      <x:c r="G82" s="80"/>
      <x:c r="H82" s="80"/>
      <x:c r="I82" s="80"/>
      <x:c r="J82" s="80"/>
      <x:c r="K82" s="196" t="str">
        <x:f>IF(COUNTA(F82:J82)=0,"",F82*'01_CONFIG'!$B$6+G82*'01_CONFIG'!$B$7+H82*'01_CONFIG'!$B$8+I82*'01_CONFIG'!$B$9+J82*'01_CONFIG'!$B$10)</x:f>
      </x:c>
      <x:c r="L82" s="34"/>
      <x:c r="M82" s="34"/>
      <x:c r="N82" s="172"/>
      <x:c r="O82" s="34"/>
      <x:c r="P82" s="35"/>
    </x:row>
    <x:row r="83">
      <x:c r="A83" s="34"/>
      <x:c r="B83" s="34"/>
      <x:c r="C83" s="34"/>
      <x:c r="D83" s="78"/>
      <x:c r="E83" s="78"/>
      <x:c r="F83" s="80"/>
      <x:c r="G83" s="80"/>
      <x:c r="H83" s="80"/>
      <x:c r="I83" s="80"/>
      <x:c r="J83" s="80"/>
      <x:c r="K83" s="196" t="str">
        <x:f>IF(COUNTA(F83:J83)=0,"",F83*'01_CONFIG'!$B$6+G83*'01_CONFIG'!$B$7+H83*'01_CONFIG'!$B$8+I83*'01_CONFIG'!$B$9+J83*'01_CONFIG'!$B$10)</x:f>
      </x:c>
      <x:c r="L83" s="34"/>
      <x:c r="M83" s="34"/>
      <x:c r="N83" s="172"/>
      <x:c r="O83" s="34"/>
      <x:c r="P83" s="35"/>
    </x:row>
    <x:row r="84">
      <x:c r="A84" s="34"/>
      <x:c r="B84" s="34"/>
      <x:c r="C84" s="34"/>
      <x:c r="D84" s="78"/>
      <x:c r="E84" s="78"/>
      <x:c r="F84" s="80"/>
      <x:c r="G84" s="80"/>
      <x:c r="H84" s="80"/>
      <x:c r="I84" s="80"/>
      <x:c r="J84" s="80"/>
      <x:c r="K84" s="196" t="str">
        <x:f>IF(COUNTA(F84:J84)=0,"",F84*'01_CONFIG'!$B$6+G84*'01_CONFIG'!$B$7+H84*'01_CONFIG'!$B$8+I84*'01_CONFIG'!$B$9+J84*'01_CONFIG'!$B$10)</x:f>
      </x:c>
      <x:c r="L84" s="34"/>
      <x:c r="M84" s="34"/>
      <x:c r="N84" s="172"/>
      <x:c r="O84" s="34"/>
      <x:c r="P84" s="35"/>
    </x:row>
    <x:row r="85">
      <x:c r="A85" s="34"/>
      <x:c r="B85" s="34"/>
      <x:c r="C85" s="34"/>
      <x:c r="D85" s="78"/>
      <x:c r="E85" s="78"/>
      <x:c r="F85" s="80"/>
      <x:c r="G85" s="80"/>
      <x:c r="H85" s="80"/>
      <x:c r="I85" s="80"/>
      <x:c r="J85" s="80"/>
      <x:c r="K85" s="196" t="str">
        <x:f>IF(COUNTA(F85:J85)=0,"",F85*'01_CONFIG'!$B$6+G85*'01_CONFIG'!$B$7+H85*'01_CONFIG'!$B$8+I85*'01_CONFIG'!$B$9+J85*'01_CONFIG'!$B$10)</x:f>
      </x:c>
      <x:c r="L85" s="34"/>
      <x:c r="M85" s="34"/>
      <x:c r="N85" s="172"/>
      <x:c r="O85" s="34"/>
      <x:c r="P85" s="35"/>
    </x:row>
    <x:row r="86">
      <x:c r="A86" s="34"/>
      <x:c r="B86" s="34"/>
      <x:c r="C86" s="34"/>
      <x:c r="D86" s="78"/>
      <x:c r="E86" s="78"/>
      <x:c r="F86" s="80"/>
      <x:c r="G86" s="80"/>
      <x:c r="H86" s="80"/>
      <x:c r="I86" s="80"/>
      <x:c r="J86" s="80"/>
      <x:c r="K86" s="196" t="str">
        <x:f>IF(COUNTA(F86:J86)=0,"",F86*'01_CONFIG'!$B$6+G86*'01_CONFIG'!$B$7+H86*'01_CONFIG'!$B$8+I86*'01_CONFIG'!$B$9+J86*'01_CONFIG'!$B$10)</x:f>
      </x:c>
      <x:c r="L86" s="34"/>
      <x:c r="M86" s="34"/>
      <x:c r="N86" s="172"/>
      <x:c r="O86" s="34"/>
      <x:c r="P86" s="35"/>
    </x:row>
    <x:row r="87">
      <x:c r="A87" s="34"/>
      <x:c r="B87" s="34"/>
      <x:c r="C87" s="34"/>
      <x:c r="D87" s="78"/>
      <x:c r="E87" s="78"/>
      <x:c r="F87" s="80"/>
      <x:c r="G87" s="80"/>
      <x:c r="H87" s="80"/>
      <x:c r="I87" s="80"/>
      <x:c r="J87" s="80"/>
      <x:c r="K87" s="196" t="str">
        <x:f>IF(COUNTA(F87:J87)=0,"",F87*'01_CONFIG'!$B$6+G87*'01_CONFIG'!$B$7+H87*'01_CONFIG'!$B$8+I87*'01_CONFIG'!$B$9+J87*'01_CONFIG'!$B$10)</x:f>
      </x:c>
      <x:c r="L87" s="34"/>
      <x:c r="M87" s="34"/>
      <x:c r="N87" s="172"/>
      <x:c r="O87" s="34"/>
      <x:c r="P87" s="35"/>
    </x:row>
    <x:row r="88">
      <x:c r="A88" s="34"/>
      <x:c r="B88" s="34"/>
      <x:c r="C88" s="34"/>
      <x:c r="D88" s="78"/>
      <x:c r="E88" s="78"/>
      <x:c r="F88" s="80"/>
      <x:c r="G88" s="80"/>
      <x:c r="H88" s="80"/>
      <x:c r="I88" s="80"/>
      <x:c r="J88" s="80"/>
      <x:c r="K88" s="196" t="str">
        <x:f>IF(COUNTA(F88:J88)=0,"",F88*'01_CONFIG'!$B$6+G88*'01_CONFIG'!$B$7+H88*'01_CONFIG'!$B$8+I88*'01_CONFIG'!$B$9+J88*'01_CONFIG'!$B$10)</x:f>
      </x:c>
      <x:c r="L88" s="34"/>
      <x:c r="M88" s="34"/>
      <x:c r="N88" s="172"/>
      <x:c r="O88" s="34"/>
      <x:c r="P88" s="35"/>
    </x:row>
    <x:row r="89">
      <x:c r="A89" s="34"/>
      <x:c r="B89" s="34"/>
      <x:c r="C89" s="34"/>
      <x:c r="D89" s="78"/>
      <x:c r="E89" s="78"/>
      <x:c r="F89" s="80"/>
      <x:c r="G89" s="80"/>
      <x:c r="H89" s="80"/>
      <x:c r="I89" s="80"/>
      <x:c r="J89" s="80"/>
      <x:c r="K89" s="196" t="str">
        <x:f>IF(COUNTA(F89:J89)=0,"",F89*'01_CONFIG'!$B$6+G89*'01_CONFIG'!$B$7+H89*'01_CONFIG'!$B$8+I89*'01_CONFIG'!$B$9+J89*'01_CONFIG'!$B$10)</x:f>
      </x:c>
      <x:c r="L89" s="34"/>
      <x:c r="M89" s="34"/>
      <x:c r="N89" s="172"/>
      <x:c r="O89" s="34"/>
      <x:c r="P89" s="35"/>
    </x:row>
    <x:row r="90">
      <x:c r="A90" s="34"/>
      <x:c r="B90" s="34"/>
      <x:c r="C90" s="34"/>
      <x:c r="D90" s="78"/>
      <x:c r="E90" s="78"/>
      <x:c r="F90" s="80"/>
      <x:c r="G90" s="80"/>
      <x:c r="H90" s="80"/>
      <x:c r="I90" s="80"/>
      <x:c r="J90" s="80"/>
      <x:c r="K90" s="196" t="str">
        <x:f>IF(COUNTA(F90:J90)=0,"",F90*'01_CONFIG'!$B$6+G90*'01_CONFIG'!$B$7+H90*'01_CONFIG'!$B$8+I90*'01_CONFIG'!$B$9+J90*'01_CONFIG'!$B$10)</x:f>
      </x:c>
      <x:c r="L90" s="34"/>
      <x:c r="M90" s="34"/>
      <x:c r="N90" s="172"/>
      <x:c r="O90" s="34"/>
      <x:c r="P90" s="35"/>
    </x:row>
    <x:row r="91">
      <x:c r="A91" s="34"/>
      <x:c r="B91" s="34"/>
      <x:c r="C91" s="34"/>
      <x:c r="D91" s="78"/>
      <x:c r="E91" s="78"/>
      <x:c r="F91" s="80"/>
      <x:c r="G91" s="80"/>
      <x:c r="H91" s="80"/>
      <x:c r="I91" s="80"/>
      <x:c r="J91" s="80"/>
      <x:c r="K91" s="196" t="str">
        <x:f>IF(COUNTA(F91:J91)=0,"",F91*'01_CONFIG'!$B$6+G91*'01_CONFIG'!$B$7+H91*'01_CONFIG'!$B$8+I91*'01_CONFIG'!$B$9+J91*'01_CONFIG'!$B$10)</x:f>
      </x:c>
      <x:c r="L91" s="34"/>
      <x:c r="M91" s="34"/>
      <x:c r="N91" s="172"/>
      <x:c r="O91" s="34"/>
      <x:c r="P91" s="35"/>
    </x:row>
    <x:row r="92">
      <x:c r="A92" s="34"/>
      <x:c r="B92" s="34"/>
      <x:c r="C92" s="34"/>
      <x:c r="D92" s="78"/>
      <x:c r="E92" s="78"/>
      <x:c r="F92" s="80"/>
      <x:c r="G92" s="80"/>
      <x:c r="H92" s="80"/>
      <x:c r="I92" s="80"/>
      <x:c r="J92" s="80"/>
      <x:c r="K92" s="196" t="str">
        <x:f>IF(COUNTA(F92:J92)=0,"",F92*'01_CONFIG'!$B$6+G92*'01_CONFIG'!$B$7+H92*'01_CONFIG'!$B$8+I92*'01_CONFIG'!$B$9+J92*'01_CONFIG'!$B$10)</x:f>
      </x:c>
      <x:c r="L92" s="34"/>
      <x:c r="M92" s="34"/>
      <x:c r="N92" s="172"/>
      <x:c r="O92" s="34"/>
      <x:c r="P92" s="35"/>
    </x:row>
    <x:row r="93">
      <x:c r="A93" s="34"/>
      <x:c r="B93" s="34"/>
      <x:c r="C93" s="34"/>
      <x:c r="D93" s="78"/>
      <x:c r="E93" s="78"/>
      <x:c r="F93" s="80"/>
      <x:c r="G93" s="80"/>
      <x:c r="H93" s="80"/>
      <x:c r="I93" s="80"/>
      <x:c r="J93" s="80"/>
      <x:c r="K93" s="196" t="str">
        <x:f>IF(COUNTA(F93:J93)=0,"",F93*'01_CONFIG'!$B$6+G93*'01_CONFIG'!$B$7+H93*'01_CONFIG'!$B$8+I93*'01_CONFIG'!$B$9+J93*'01_CONFIG'!$B$10)</x:f>
      </x:c>
      <x:c r="L93" s="34"/>
      <x:c r="M93" s="34"/>
      <x:c r="N93" s="172"/>
      <x:c r="O93" s="34"/>
      <x:c r="P93" s="35"/>
    </x:row>
    <x:row r="94">
      <x:c r="A94" s="34"/>
      <x:c r="B94" s="34"/>
      <x:c r="C94" s="34"/>
      <x:c r="D94" s="78"/>
      <x:c r="E94" s="78"/>
      <x:c r="F94" s="80"/>
      <x:c r="G94" s="80"/>
      <x:c r="H94" s="80"/>
      <x:c r="I94" s="80"/>
      <x:c r="J94" s="80"/>
      <x:c r="K94" s="196" t="str">
        <x:f>IF(COUNTA(F94:J94)=0,"",F94*'01_CONFIG'!$B$6+G94*'01_CONFIG'!$B$7+H94*'01_CONFIG'!$B$8+I94*'01_CONFIG'!$B$9+J94*'01_CONFIG'!$B$10)</x:f>
      </x:c>
      <x:c r="L94" s="34"/>
      <x:c r="M94" s="34"/>
      <x:c r="N94" s="172"/>
      <x:c r="O94" s="34"/>
      <x:c r="P94" s="35"/>
    </x:row>
    <x:row r="95">
      <x:c r="A95" s="34"/>
      <x:c r="B95" s="34"/>
      <x:c r="C95" s="34"/>
      <x:c r="D95" s="78"/>
      <x:c r="E95" s="78"/>
      <x:c r="F95" s="80"/>
      <x:c r="G95" s="80"/>
      <x:c r="H95" s="80"/>
      <x:c r="I95" s="80"/>
      <x:c r="J95" s="80"/>
      <x:c r="K95" s="196" t="str">
        <x:f>IF(COUNTA(F95:J95)=0,"",F95*'01_CONFIG'!$B$6+G95*'01_CONFIG'!$B$7+H95*'01_CONFIG'!$B$8+I95*'01_CONFIG'!$B$9+J95*'01_CONFIG'!$B$10)</x:f>
      </x:c>
      <x:c r="L95" s="34"/>
      <x:c r="M95" s="34"/>
      <x:c r="N95" s="172"/>
      <x:c r="O95" s="34"/>
      <x:c r="P95" s="35"/>
    </x:row>
    <x:row r="96">
      <x:c r="A96" s="34"/>
      <x:c r="B96" s="34"/>
      <x:c r="C96" s="34"/>
      <x:c r="D96" s="78"/>
      <x:c r="E96" s="78"/>
      <x:c r="F96" s="80"/>
      <x:c r="G96" s="80"/>
      <x:c r="H96" s="80"/>
      <x:c r="I96" s="80"/>
      <x:c r="J96" s="80"/>
      <x:c r="K96" s="196" t="str">
        <x:f>IF(COUNTA(F96:J96)=0,"",F96*'01_CONFIG'!$B$6+G96*'01_CONFIG'!$B$7+H96*'01_CONFIG'!$B$8+I96*'01_CONFIG'!$B$9+J96*'01_CONFIG'!$B$10)</x:f>
      </x:c>
      <x:c r="L96" s="34"/>
      <x:c r="M96" s="34"/>
      <x:c r="N96" s="172"/>
      <x:c r="O96" s="34"/>
      <x:c r="P96" s="35"/>
    </x:row>
    <x:row r="97">
      <x:c r="A97" s="34"/>
      <x:c r="B97" s="34"/>
      <x:c r="C97" s="34"/>
      <x:c r="D97" s="78"/>
      <x:c r="E97" s="78"/>
      <x:c r="F97" s="80"/>
      <x:c r="G97" s="80"/>
      <x:c r="H97" s="80"/>
      <x:c r="I97" s="80"/>
      <x:c r="J97" s="80"/>
      <x:c r="K97" s="196" t="str">
        <x:f>IF(COUNTA(F97:J97)=0,"",F97*'01_CONFIG'!$B$6+G97*'01_CONFIG'!$B$7+H97*'01_CONFIG'!$B$8+I97*'01_CONFIG'!$B$9+J97*'01_CONFIG'!$B$10)</x:f>
      </x:c>
      <x:c r="L97" s="34"/>
      <x:c r="M97" s="34"/>
      <x:c r="N97" s="172"/>
      <x:c r="O97" s="34"/>
      <x:c r="P97" s="35"/>
    </x:row>
    <x:row r="98">
      <x:c r="A98" s="34"/>
      <x:c r="B98" s="34"/>
      <x:c r="C98" s="34"/>
      <x:c r="D98" s="78"/>
      <x:c r="E98" s="78"/>
      <x:c r="F98" s="80"/>
      <x:c r="G98" s="80"/>
      <x:c r="H98" s="80"/>
      <x:c r="I98" s="80"/>
      <x:c r="J98" s="80"/>
      <x:c r="K98" s="196" t="str">
        <x:f>IF(COUNTA(F98:J98)=0,"",F98*'01_CONFIG'!$B$6+G98*'01_CONFIG'!$B$7+H98*'01_CONFIG'!$B$8+I98*'01_CONFIG'!$B$9+J98*'01_CONFIG'!$B$10)</x:f>
      </x:c>
      <x:c r="L98" s="34"/>
      <x:c r="M98" s="34"/>
      <x:c r="N98" s="172"/>
      <x:c r="O98" s="34"/>
      <x:c r="P98" s="35"/>
    </x:row>
    <x:row r="99">
      <x:c r="A99" s="34"/>
      <x:c r="B99" s="34"/>
      <x:c r="C99" s="34"/>
      <x:c r="D99" s="78"/>
      <x:c r="E99" s="78"/>
      <x:c r="F99" s="80"/>
      <x:c r="G99" s="80"/>
      <x:c r="H99" s="80"/>
      <x:c r="I99" s="80"/>
      <x:c r="J99" s="80"/>
      <x:c r="K99" s="196" t="str">
        <x:f>IF(COUNTA(F99:J99)=0,"",F99*'01_CONFIG'!$B$6+G99*'01_CONFIG'!$B$7+H99*'01_CONFIG'!$B$8+I99*'01_CONFIG'!$B$9+J99*'01_CONFIG'!$B$10)</x:f>
      </x:c>
      <x:c r="L99" s="34"/>
      <x:c r="M99" s="34"/>
      <x:c r="N99" s="172"/>
      <x:c r="O99" s="34"/>
      <x:c r="P99" s="35"/>
    </x:row>
    <x:row r="100">
      <x:c r="A100" s="34"/>
      <x:c r="B100" s="34"/>
      <x:c r="C100" s="34"/>
      <x:c r="D100" s="78"/>
      <x:c r="E100" s="78"/>
      <x:c r="F100" s="80"/>
      <x:c r="G100" s="80"/>
      <x:c r="H100" s="80"/>
      <x:c r="I100" s="80"/>
      <x:c r="J100" s="80"/>
      <x:c r="K100" s="196" t="str">
        <x:f>IF(COUNTA(F100:J100)=0,"",F100*'01_CONFIG'!$B$6+G100*'01_CONFIG'!$B$7+H100*'01_CONFIG'!$B$8+I100*'01_CONFIG'!$B$9+J100*'01_CONFIG'!$B$10)</x:f>
      </x:c>
      <x:c r="L100" s="34"/>
      <x:c r="M100" s="34"/>
      <x:c r="N100" s="172"/>
      <x:c r="O100" s="34"/>
      <x:c r="P100" s="35"/>
    </x:row>
    <x:row r="101">
      <x:c r="A101" s="34"/>
      <x:c r="B101" s="34"/>
      <x:c r="C101" s="34"/>
      <x:c r="D101" s="78"/>
      <x:c r="E101" s="78"/>
      <x:c r="F101" s="80"/>
      <x:c r="G101" s="80"/>
      <x:c r="H101" s="80"/>
      <x:c r="I101" s="80"/>
      <x:c r="J101" s="80"/>
      <x:c r="K101" s="196" t="str">
        <x:f>IF(COUNTA(F101:J101)=0,"",F101*'01_CONFIG'!$B$6+G101*'01_CONFIG'!$B$7+H101*'01_CONFIG'!$B$8+I101*'01_CONFIG'!$B$9+J101*'01_CONFIG'!$B$10)</x:f>
      </x:c>
      <x:c r="L101" s="34"/>
      <x:c r="M101" s="34"/>
      <x:c r="N101" s="172"/>
      <x:c r="O101" s="34"/>
      <x:c r="P101" s="35"/>
    </x:row>
    <x:row r="102">
      <x:c r="A102" s="34"/>
      <x:c r="B102" s="34"/>
      <x:c r="C102" s="34"/>
      <x:c r="D102" s="78"/>
      <x:c r="E102" s="78"/>
      <x:c r="F102" s="80"/>
      <x:c r="G102" s="80"/>
      <x:c r="H102" s="80"/>
      <x:c r="I102" s="80"/>
      <x:c r="J102" s="80"/>
      <x:c r="K102" s="196" t="str">
        <x:f>IF(COUNTA(F102:J102)=0,"",F102*'01_CONFIG'!$B$6+G102*'01_CONFIG'!$B$7+H102*'01_CONFIG'!$B$8+I102*'01_CONFIG'!$B$9+J102*'01_CONFIG'!$B$10)</x:f>
      </x:c>
      <x:c r="L102" s="34"/>
      <x:c r="M102" s="34"/>
      <x:c r="N102" s="172"/>
      <x:c r="O102" s="34"/>
      <x:c r="P102" s="35"/>
    </x:row>
    <x:row r="103">
      <x:c r="A103" s="34"/>
      <x:c r="B103" s="34"/>
      <x:c r="C103" s="34"/>
      <x:c r="D103" s="78"/>
      <x:c r="E103" s="78"/>
      <x:c r="F103" s="80"/>
      <x:c r="G103" s="80"/>
      <x:c r="H103" s="80"/>
      <x:c r="I103" s="80"/>
      <x:c r="J103" s="80"/>
      <x:c r="K103" s="196" t="str">
        <x:f>IF(COUNTA(F103:J103)=0,"",F103*'01_CONFIG'!$B$6+G103*'01_CONFIG'!$B$7+H103*'01_CONFIG'!$B$8+I103*'01_CONFIG'!$B$9+J103*'01_CONFIG'!$B$10)</x:f>
      </x:c>
      <x:c r="L103" s="34"/>
      <x:c r="M103" s="34"/>
      <x:c r="N103" s="172"/>
      <x:c r="O103" s="34"/>
      <x:c r="P103" s="35"/>
    </x:row>
    <x:row r="104">
      <x:c r="A104" s="34"/>
      <x:c r="B104" s="34"/>
      <x:c r="C104" s="34"/>
      <x:c r="D104" s="78"/>
      <x:c r="E104" s="78"/>
      <x:c r="F104" s="80"/>
      <x:c r="G104" s="80"/>
      <x:c r="H104" s="80"/>
      <x:c r="I104" s="80"/>
      <x:c r="J104" s="80"/>
      <x:c r="K104" s="196" t="str">
        <x:f>IF(COUNTA(F104:J104)=0,"",F104*'01_CONFIG'!$B$6+G104*'01_CONFIG'!$B$7+H104*'01_CONFIG'!$B$8+I104*'01_CONFIG'!$B$9+J104*'01_CONFIG'!$B$10)</x:f>
      </x:c>
      <x:c r="L104" s="34"/>
      <x:c r="M104" s="34"/>
      <x:c r="N104" s="172"/>
      <x:c r="O104" s="34"/>
      <x:c r="P104" s="35"/>
    </x:row>
    <x:row r="105">
      <x:c r="A105" s="34"/>
      <x:c r="B105" s="34"/>
      <x:c r="C105" s="34"/>
      <x:c r="D105" s="78"/>
      <x:c r="E105" s="78"/>
      <x:c r="F105" s="80"/>
      <x:c r="G105" s="80"/>
      <x:c r="H105" s="80"/>
      <x:c r="I105" s="80"/>
      <x:c r="J105" s="80"/>
      <x:c r="K105" s="196" t="str">
        <x:f>IF(COUNTA(F105:J105)=0,"",F105*'01_CONFIG'!$B$6+G105*'01_CONFIG'!$B$7+H105*'01_CONFIG'!$B$8+I105*'01_CONFIG'!$B$9+J105*'01_CONFIG'!$B$10)</x:f>
      </x:c>
      <x:c r="L105" s="34"/>
      <x:c r="M105" s="34"/>
      <x:c r="N105" s="172"/>
      <x:c r="O105" s="34"/>
      <x:c r="P105" s="35"/>
    </x:row>
    <x:row r="106">
      <x:c r="A106" s="34"/>
      <x:c r="B106" s="34"/>
      <x:c r="C106" s="34"/>
      <x:c r="D106" s="78"/>
      <x:c r="E106" s="78"/>
      <x:c r="F106" s="80"/>
      <x:c r="G106" s="80"/>
      <x:c r="H106" s="80"/>
      <x:c r="I106" s="80"/>
      <x:c r="J106" s="80"/>
      <x:c r="K106" s="196" t="str">
        <x:f>IF(COUNTA(F106:J106)=0,"",F106*'01_CONFIG'!$B$6+G106*'01_CONFIG'!$B$7+H106*'01_CONFIG'!$B$8+I106*'01_CONFIG'!$B$9+J106*'01_CONFIG'!$B$10)</x:f>
      </x:c>
      <x:c r="L106" s="34"/>
      <x:c r="M106" s="34"/>
      <x:c r="N106" s="172"/>
      <x:c r="O106" s="34"/>
      <x:c r="P106" s="35"/>
    </x:row>
    <x:row r="107">
      <x:c r="A107" s="34"/>
      <x:c r="B107" s="34"/>
      <x:c r="C107" s="34"/>
      <x:c r="D107" s="78"/>
      <x:c r="E107" s="78"/>
      <x:c r="F107" s="80"/>
      <x:c r="G107" s="80"/>
      <x:c r="H107" s="80"/>
      <x:c r="I107" s="80"/>
      <x:c r="J107" s="80"/>
      <x:c r="K107" s="196" t="str">
        <x:f>IF(COUNTA(F107:J107)=0,"",F107*'01_CONFIG'!$B$6+G107*'01_CONFIG'!$B$7+H107*'01_CONFIG'!$B$8+I107*'01_CONFIG'!$B$9+J107*'01_CONFIG'!$B$10)</x:f>
      </x:c>
      <x:c r="L107" s="34"/>
      <x:c r="M107" s="34"/>
      <x:c r="N107" s="172"/>
      <x:c r="O107" s="34"/>
      <x:c r="P107" s="35"/>
    </x:row>
    <x:row r="108">
      <x:c r="A108" s="34"/>
      <x:c r="B108" s="34"/>
      <x:c r="C108" s="34"/>
      <x:c r="D108" s="78"/>
      <x:c r="E108" s="78"/>
      <x:c r="F108" s="80"/>
      <x:c r="G108" s="80"/>
      <x:c r="H108" s="80"/>
      <x:c r="I108" s="80"/>
      <x:c r="J108" s="80"/>
      <x:c r="K108" s="196" t="str">
        <x:f>IF(COUNTA(F108:J108)=0,"",F108*'01_CONFIG'!$B$6+G108*'01_CONFIG'!$B$7+H108*'01_CONFIG'!$B$8+I108*'01_CONFIG'!$B$9+J108*'01_CONFIG'!$B$10)</x:f>
      </x:c>
      <x:c r="L108" s="34"/>
      <x:c r="M108" s="34"/>
      <x:c r="N108" s="172"/>
      <x:c r="O108" s="34"/>
      <x:c r="P108" s="35"/>
    </x:row>
    <x:row r="109">
      <x:c r="A109" s="34"/>
      <x:c r="B109" s="34"/>
      <x:c r="C109" s="34"/>
      <x:c r="D109" s="78"/>
      <x:c r="E109" s="78"/>
      <x:c r="F109" s="80"/>
      <x:c r="G109" s="80"/>
      <x:c r="H109" s="80"/>
      <x:c r="I109" s="80"/>
      <x:c r="J109" s="80"/>
      <x:c r="K109" s="196" t="str">
        <x:f>IF(COUNTA(F109:J109)=0,"",F109*'01_CONFIG'!$B$6+G109*'01_CONFIG'!$B$7+H109*'01_CONFIG'!$B$8+I109*'01_CONFIG'!$B$9+J109*'01_CONFIG'!$B$10)</x:f>
      </x:c>
      <x:c r="L109" s="34"/>
      <x:c r="M109" s="34"/>
      <x:c r="N109" s="172"/>
      <x:c r="O109" s="34"/>
      <x:c r="P109" s="35"/>
    </x:row>
    <x:row r="110">
      <x:c r="A110" s="34"/>
      <x:c r="B110" s="34"/>
      <x:c r="C110" s="34"/>
      <x:c r="D110" s="78"/>
      <x:c r="E110" s="78"/>
      <x:c r="F110" s="80"/>
      <x:c r="G110" s="80"/>
      <x:c r="H110" s="80"/>
      <x:c r="I110" s="80"/>
      <x:c r="J110" s="80"/>
      <x:c r="K110" s="196" t="str">
        <x:f>IF(COUNTA(F110:J110)=0,"",F110*'01_CONFIG'!$B$6+G110*'01_CONFIG'!$B$7+H110*'01_CONFIG'!$B$8+I110*'01_CONFIG'!$B$9+J110*'01_CONFIG'!$B$10)</x:f>
      </x:c>
      <x:c r="L110" s="34"/>
      <x:c r="M110" s="34"/>
      <x:c r="N110" s="172"/>
      <x:c r="O110" s="34"/>
      <x:c r="P110" s="35"/>
    </x:row>
    <x:row r="111">
      <x:c r="A111" s="34"/>
      <x:c r="B111" s="34"/>
      <x:c r="C111" s="34"/>
      <x:c r="D111" s="78"/>
      <x:c r="E111" s="78"/>
      <x:c r="F111" s="80"/>
      <x:c r="G111" s="80"/>
      <x:c r="H111" s="80"/>
      <x:c r="I111" s="80"/>
      <x:c r="J111" s="80"/>
      <x:c r="K111" s="196" t="str">
        <x:f>IF(COUNTA(F111:J111)=0,"",F111*'01_CONFIG'!$B$6+G111*'01_CONFIG'!$B$7+H111*'01_CONFIG'!$B$8+I111*'01_CONFIG'!$B$9+J111*'01_CONFIG'!$B$10)</x:f>
      </x:c>
      <x:c r="L111" s="34"/>
      <x:c r="M111" s="34"/>
      <x:c r="N111" s="172"/>
      <x:c r="O111" s="34"/>
      <x:c r="P111" s="35"/>
    </x:row>
    <x:row r="112">
      <x:c r="A112" s="34"/>
      <x:c r="B112" s="34"/>
      <x:c r="C112" s="34"/>
      <x:c r="D112" s="78"/>
      <x:c r="E112" s="78"/>
      <x:c r="F112" s="80"/>
      <x:c r="G112" s="80"/>
      <x:c r="H112" s="80"/>
      <x:c r="I112" s="80"/>
      <x:c r="J112" s="80"/>
      <x:c r="K112" s="196" t="str">
        <x:f>IF(COUNTA(F112:J112)=0,"",F112*'01_CONFIG'!$B$6+G112*'01_CONFIG'!$B$7+H112*'01_CONFIG'!$B$8+I112*'01_CONFIG'!$B$9+J112*'01_CONFIG'!$B$10)</x:f>
      </x:c>
      <x:c r="L112" s="34"/>
      <x:c r="M112" s="34"/>
      <x:c r="N112" s="172"/>
      <x:c r="O112" s="34"/>
      <x:c r="P112" s="35"/>
    </x:row>
    <x:row r="113">
      <x:c r="A113" s="34"/>
      <x:c r="B113" s="34"/>
      <x:c r="C113" s="34"/>
      <x:c r="D113" s="78"/>
      <x:c r="E113" s="78"/>
      <x:c r="F113" s="80"/>
      <x:c r="G113" s="80"/>
      <x:c r="H113" s="80"/>
      <x:c r="I113" s="80"/>
      <x:c r="J113" s="80"/>
      <x:c r="K113" s="196" t="str">
        <x:f>IF(COUNTA(F113:J113)=0,"",F113*'01_CONFIG'!$B$6+G113*'01_CONFIG'!$B$7+H113*'01_CONFIG'!$B$8+I113*'01_CONFIG'!$B$9+J113*'01_CONFIG'!$B$10)</x:f>
      </x:c>
      <x:c r="L113" s="34"/>
      <x:c r="M113" s="34"/>
      <x:c r="N113" s="172"/>
      <x:c r="O113" s="34"/>
      <x:c r="P113" s="35"/>
    </x:row>
    <x:row r="114">
      <x:c r="A114" s="34"/>
      <x:c r="B114" s="34"/>
      <x:c r="C114" s="34"/>
      <x:c r="D114" s="78"/>
      <x:c r="E114" s="78"/>
      <x:c r="F114" s="80"/>
      <x:c r="G114" s="80"/>
      <x:c r="H114" s="80"/>
      <x:c r="I114" s="80"/>
      <x:c r="J114" s="80"/>
      <x:c r="K114" s="196" t="str">
        <x:f>IF(COUNTA(F114:J114)=0,"",F114*'01_CONFIG'!$B$6+G114*'01_CONFIG'!$B$7+H114*'01_CONFIG'!$B$8+I114*'01_CONFIG'!$B$9+J114*'01_CONFIG'!$B$10)</x:f>
      </x:c>
      <x:c r="L114" s="34"/>
      <x:c r="M114" s="34"/>
      <x:c r="N114" s="172"/>
      <x:c r="O114" s="34"/>
      <x:c r="P114" s="35"/>
    </x:row>
    <x:row r="115">
      <x:c r="A115" s="34"/>
      <x:c r="B115" s="34"/>
      <x:c r="C115" s="34"/>
      <x:c r="D115" s="78"/>
      <x:c r="E115" s="78"/>
      <x:c r="F115" s="80"/>
      <x:c r="G115" s="80"/>
      <x:c r="H115" s="80"/>
      <x:c r="I115" s="80"/>
      <x:c r="J115" s="80"/>
      <x:c r="K115" s="196" t="str">
        <x:f>IF(COUNTA(F115:J115)=0,"",F115*'01_CONFIG'!$B$6+G115*'01_CONFIG'!$B$7+H115*'01_CONFIG'!$B$8+I115*'01_CONFIG'!$B$9+J115*'01_CONFIG'!$B$10)</x:f>
      </x:c>
      <x:c r="L115" s="34"/>
      <x:c r="M115" s="34"/>
      <x:c r="N115" s="172"/>
      <x:c r="O115" s="34"/>
      <x:c r="P115" s="35"/>
    </x:row>
    <x:row r="116">
      <x:c r="A116" s="34"/>
      <x:c r="B116" s="34"/>
      <x:c r="C116" s="34"/>
      <x:c r="D116" s="78"/>
      <x:c r="E116" s="78"/>
      <x:c r="F116" s="80"/>
      <x:c r="G116" s="80"/>
      <x:c r="H116" s="80"/>
      <x:c r="I116" s="80"/>
      <x:c r="J116" s="80"/>
      <x:c r="K116" s="196" t="str">
        <x:f>IF(COUNTA(F116:J116)=0,"",F116*'01_CONFIG'!$B$6+G116*'01_CONFIG'!$B$7+H116*'01_CONFIG'!$B$8+I116*'01_CONFIG'!$B$9+J116*'01_CONFIG'!$B$10)</x:f>
      </x:c>
      <x:c r="L116" s="34"/>
      <x:c r="M116" s="34"/>
      <x:c r="N116" s="172"/>
      <x:c r="O116" s="34"/>
      <x:c r="P116" s="35"/>
    </x:row>
    <x:row r="117">
      <x:c r="A117" s="34"/>
      <x:c r="B117" s="34"/>
      <x:c r="C117" s="34"/>
      <x:c r="D117" s="78"/>
      <x:c r="E117" s="78"/>
      <x:c r="F117" s="80"/>
      <x:c r="G117" s="80"/>
      <x:c r="H117" s="80"/>
      <x:c r="I117" s="80"/>
      <x:c r="J117" s="80"/>
      <x:c r="K117" s="196" t="str">
        <x:f>IF(COUNTA(F117:J117)=0,"",F117*'01_CONFIG'!$B$6+G117*'01_CONFIG'!$B$7+H117*'01_CONFIG'!$B$8+I117*'01_CONFIG'!$B$9+J117*'01_CONFIG'!$B$10)</x:f>
      </x:c>
      <x:c r="L117" s="34"/>
      <x:c r="M117" s="34"/>
      <x:c r="N117" s="172"/>
      <x:c r="O117" s="34"/>
      <x:c r="P117" s="35"/>
    </x:row>
    <x:row r="118">
      <x:c r="A118" s="34"/>
      <x:c r="B118" s="34"/>
      <x:c r="C118" s="34"/>
      <x:c r="D118" s="78"/>
      <x:c r="E118" s="78"/>
      <x:c r="F118" s="80"/>
      <x:c r="G118" s="80"/>
      <x:c r="H118" s="80"/>
      <x:c r="I118" s="80"/>
      <x:c r="J118" s="80"/>
      <x:c r="K118" s="196" t="str">
        <x:f>IF(COUNTA(F118:J118)=0,"",F118*'01_CONFIG'!$B$6+G118*'01_CONFIG'!$B$7+H118*'01_CONFIG'!$B$8+I118*'01_CONFIG'!$B$9+J118*'01_CONFIG'!$B$10)</x:f>
      </x:c>
      <x:c r="L118" s="34"/>
      <x:c r="M118" s="34"/>
      <x:c r="N118" s="172"/>
      <x:c r="O118" s="34"/>
      <x:c r="P118" s="35"/>
    </x:row>
    <x:row r="119">
      <x:c r="A119" s="34"/>
      <x:c r="B119" s="34"/>
      <x:c r="C119" s="34"/>
      <x:c r="D119" s="78"/>
      <x:c r="E119" s="78"/>
      <x:c r="F119" s="80"/>
      <x:c r="G119" s="80"/>
      <x:c r="H119" s="80"/>
      <x:c r="I119" s="80"/>
      <x:c r="J119" s="80"/>
      <x:c r="K119" s="196" t="str">
        <x:f>IF(COUNTA(F119:J119)=0,"",F119*'01_CONFIG'!$B$6+G119*'01_CONFIG'!$B$7+H119*'01_CONFIG'!$B$8+I119*'01_CONFIG'!$B$9+J119*'01_CONFIG'!$B$10)</x:f>
      </x:c>
      <x:c r="L119" s="34"/>
      <x:c r="M119" s="34"/>
      <x:c r="N119" s="172"/>
      <x:c r="O119" s="34"/>
      <x:c r="P119" s="35"/>
    </x:row>
    <x:row r="120">
      <x:c r="A120" s="34"/>
      <x:c r="B120" s="34"/>
      <x:c r="C120" s="34"/>
      <x:c r="D120" s="78"/>
      <x:c r="E120" s="78"/>
      <x:c r="F120" s="80"/>
      <x:c r="G120" s="80"/>
      <x:c r="H120" s="80"/>
      <x:c r="I120" s="80"/>
      <x:c r="J120" s="80"/>
      <x:c r="K120" s="196" t="str">
        <x:f>IF(COUNTA(F120:J120)=0,"",F120*'01_CONFIG'!$B$6+G120*'01_CONFIG'!$B$7+H120*'01_CONFIG'!$B$8+I120*'01_CONFIG'!$B$9+J120*'01_CONFIG'!$B$10)</x:f>
      </x:c>
      <x:c r="L120" s="34"/>
      <x:c r="M120" s="34"/>
      <x:c r="N120" s="172"/>
      <x:c r="O120" s="34"/>
      <x:c r="P120" s="35"/>
    </x:row>
    <x:row r="121">
      <x:c r="A121" s="34"/>
      <x:c r="B121" s="34"/>
      <x:c r="C121" s="34"/>
      <x:c r="D121" s="78"/>
      <x:c r="E121" s="78"/>
      <x:c r="F121" s="80"/>
      <x:c r="G121" s="80"/>
      <x:c r="H121" s="80"/>
      <x:c r="I121" s="80"/>
      <x:c r="J121" s="80"/>
      <x:c r="K121" s="196" t="str">
        <x:f>IF(COUNTA(F121:J121)=0,"",F121*'01_CONFIG'!$B$6+G121*'01_CONFIG'!$B$7+H121*'01_CONFIG'!$B$8+I121*'01_CONFIG'!$B$9+J121*'01_CONFIG'!$B$10)</x:f>
      </x:c>
      <x:c r="L121" s="34"/>
      <x:c r="M121" s="34"/>
      <x:c r="N121" s="172"/>
      <x:c r="O121" s="34"/>
      <x:c r="P121" s="35"/>
    </x:row>
    <x:row r="122">
      <x:c r="A122" s="34"/>
      <x:c r="B122" s="34"/>
      <x:c r="C122" s="34"/>
      <x:c r="D122" s="78"/>
      <x:c r="E122" s="78"/>
      <x:c r="F122" s="80"/>
      <x:c r="G122" s="80"/>
      <x:c r="H122" s="80"/>
      <x:c r="I122" s="80"/>
      <x:c r="J122" s="80"/>
      <x:c r="K122" s="196" t="str">
        <x:f>IF(COUNTA(F122:J122)=0,"",F122*'01_CONFIG'!$B$6+G122*'01_CONFIG'!$B$7+H122*'01_CONFIG'!$B$8+I122*'01_CONFIG'!$B$9+J122*'01_CONFIG'!$B$10)</x:f>
      </x:c>
      <x:c r="L122" s="34"/>
      <x:c r="M122" s="34"/>
      <x:c r="N122" s="172"/>
      <x:c r="O122" s="34"/>
      <x:c r="P122" s="35"/>
    </x:row>
    <x:row r="123">
      <x:c r="A123" s="34"/>
      <x:c r="B123" s="34"/>
      <x:c r="C123" s="34"/>
      <x:c r="D123" s="78"/>
      <x:c r="E123" s="78"/>
      <x:c r="F123" s="80"/>
      <x:c r="G123" s="80"/>
      <x:c r="H123" s="80"/>
      <x:c r="I123" s="80"/>
      <x:c r="J123" s="80"/>
      <x:c r="K123" s="196" t="str">
        <x:f>IF(COUNTA(F123:J123)=0,"",F123*'01_CONFIG'!$B$6+G123*'01_CONFIG'!$B$7+H123*'01_CONFIG'!$B$8+I123*'01_CONFIG'!$B$9+J123*'01_CONFIG'!$B$10)</x:f>
      </x:c>
      <x:c r="L123" s="34"/>
      <x:c r="M123" s="34"/>
      <x:c r="N123" s="172"/>
      <x:c r="O123" s="34"/>
      <x:c r="P123" s="35"/>
    </x:row>
    <x:row r="124">
      <x:c r="A124" s="34"/>
      <x:c r="B124" s="34"/>
      <x:c r="C124" s="34"/>
      <x:c r="D124" s="78"/>
      <x:c r="E124" s="78"/>
      <x:c r="F124" s="80"/>
      <x:c r="G124" s="80"/>
      <x:c r="H124" s="80"/>
      <x:c r="I124" s="80"/>
      <x:c r="J124" s="80"/>
      <x:c r="K124" s="196" t="str">
        <x:f>IF(COUNTA(F124:J124)=0,"",F124*'01_CONFIG'!$B$6+G124*'01_CONFIG'!$B$7+H124*'01_CONFIG'!$B$8+I124*'01_CONFIG'!$B$9+J124*'01_CONFIG'!$B$10)</x:f>
      </x:c>
      <x:c r="L124" s="34"/>
      <x:c r="M124" s="34"/>
      <x:c r="N124" s="172"/>
      <x:c r="O124" s="34"/>
      <x:c r="P124" s="35"/>
    </x:row>
    <x:row r="125">
      <x:c r="A125" s="34"/>
      <x:c r="B125" s="34"/>
      <x:c r="C125" s="34"/>
      <x:c r="D125" s="78"/>
      <x:c r="E125" s="78"/>
      <x:c r="F125" s="80"/>
      <x:c r="G125" s="80"/>
      <x:c r="H125" s="80"/>
      <x:c r="I125" s="80"/>
      <x:c r="J125" s="80"/>
      <x:c r="K125" s="196" t="str">
        <x:f>IF(COUNTA(F125:J125)=0,"",F125*'01_CONFIG'!$B$6+G125*'01_CONFIG'!$B$7+H125*'01_CONFIG'!$B$8+I125*'01_CONFIG'!$B$9+J125*'01_CONFIG'!$B$10)</x:f>
      </x:c>
      <x:c r="L125" s="34"/>
      <x:c r="M125" s="34"/>
      <x:c r="N125" s="172"/>
      <x:c r="O125" s="34"/>
      <x:c r="P125" s="35"/>
    </x:row>
    <x:row r="126">
      <x:c r="A126" s="34"/>
      <x:c r="B126" s="34"/>
      <x:c r="C126" s="34"/>
      <x:c r="D126" s="78"/>
      <x:c r="E126" s="78"/>
      <x:c r="F126" s="80"/>
      <x:c r="G126" s="80"/>
      <x:c r="H126" s="80"/>
      <x:c r="I126" s="80"/>
      <x:c r="J126" s="80"/>
      <x:c r="K126" s="196" t="str">
        <x:f>IF(COUNTA(F126:J126)=0,"",F126*'01_CONFIG'!$B$6+G126*'01_CONFIG'!$B$7+H126*'01_CONFIG'!$B$8+I126*'01_CONFIG'!$B$9+J126*'01_CONFIG'!$B$10)</x:f>
      </x:c>
      <x:c r="L126" s="34"/>
      <x:c r="M126" s="34"/>
      <x:c r="N126" s="172"/>
      <x:c r="O126" s="34"/>
      <x:c r="P126" s="35"/>
    </x:row>
    <x:row r="127">
      <x:c r="A127" s="34"/>
      <x:c r="B127" s="34"/>
      <x:c r="C127" s="34"/>
      <x:c r="D127" s="78"/>
      <x:c r="E127" s="78"/>
      <x:c r="F127" s="80"/>
      <x:c r="G127" s="80"/>
      <x:c r="H127" s="80"/>
      <x:c r="I127" s="80"/>
      <x:c r="J127" s="80"/>
      <x:c r="K127" s="196" t="str">
        <x:f>IF(COUNTA(F127:J127)=0,"",F127*'01_CONFIG'!$B$6+G127*'01_CONFIG'!$B$7+H127*'01_CONFIG'!$B$8+I127*'01_CONFIG'!$B$9+J127*'01_CONFIG'!$B$10)</x:f>
      </x:c>
      <x:c r="L127" s="34"/>
      <x:c r="M127" s="34"/>
      <x:c r="N127" s="172"/>
      <x:c r="O127" s="34"/>
      <x:c r="P127" s="35"/>
    </x:row>
    <x:row r="128">
      <x:c r="A128" s="34"/>
      <x:c r="B128" s="34"/>
      <x:c r="C128" s="34"/>
      <x:c r="D128" s="78"/>
      <x:c r="E128" s="78"/>
      <x:c r="F128" s="80"/>
      <x:c r="G128" s="80"/>
      <x:c r="H128" s="80"/>
      <x:c r="I128" s="80"/>
      <x:c r="J128" s="80"/>
      <x:c r="K128" s="196" t="str">
        <x:f>IF(COUNTA(F128:J128)=0,"",F128*'01_CONFIG'!$B$6+G128*'01_CONFIG'!$B$7+H128*'01_CONFIG'!$B$8+I128*'01_CONFIG'!$B$9+J128*'01_CONFIG'!$B$10)</x:f>
      </x:c>
      <x:c r="L128" s="34"/>
      <x:c r="M128" s="34"/>
      <x:c r="N128" s="172"/>
      <x:c r="O128" s="34"/>
      <x:c r="P128" s="35"/>
    </x:row>
    <x:row r="129">
      <x:c r="A129" s="34"/>
      <x:c r="B129" s="34"/>
      <x:c r="C129" s="34"/>
      <x:c r="D129" s="78"/>
      <x:c r="E129" s="78"/>
      <x:c r="F129" s="80"/>
      <x:c r="G129" s="80"/>
      <x:c r="H129" s="80"/>
      <x:c r="I129" s="80"/>
      <x:c r="J129" s="80"/>
      <x:c r="K129" s="196" t="str">
        <x:f>IF(COUNTA(F129:J129)=0,"",F129*'01_CONFIG'!$B$6+G129*'01_CONFIG'!$B$7+H129*'01_CONFIG'!$B$8+I129*'01_CONFIG'!$B$9+J129*'01_CONFIG'!$B$10)</x:f>
      </x:c>
      <x:c r="L129" s="34"/>
      <x:c r="M129" s="34"/>
      <x:c r="N129" s="172"/>
      <x:c r="O129" s="34"/>
      <x:c r="P129" s="35"/>
    </x:row>
    <x:row r="130">
      <x:c r="A130" s="34"/>
      <x:c r="B130" s="34"/>
      <x:c r="C130" s="34"/>
      <x:c r="D130" s="78"/>
      <x:c r="E130" s="78"/>
      <x:c r="F130" s="80"/>
      <x:c r="G130" s="80"/>
      <x:c r="H130" s="80"/>
      <x:c r="I130" s="80"/>
      <x:c r="J130" s="80"/>
      <x:c r="K130" s="196" t="str">
        <x:f>IF(COUNTA(F130:J130)=0,"",F130*'01_CONFIG'!$B$6+G130*'01_CONFIG'!$B$7+H130*'01_CONFIG'!$B$8+I130*'01_CONFIG'!$B$9+J130*'01_CONFIG'!$B$10)</x:f>
      </x:c>
      <x:c r="L130" s="34"/>
      <x:c r="M130" s="34"/>
      <x:c r="N130" s="172"/>
      <x:c r="O130" s="34"/>
      <x:c r="P130" s="35"/>
    </x:row>
    <x:row r="131">
      <x:c r="A131" s="34"/>
      <x:c r="B131" s="34"/>
      <x:c r="C131" s="34"/>
      <x:c r="D131" s="78"/>
      <x:c r="E131" s="78"/>
      <x:c r="F131" s="80"/>
      <x:c r="G131" s="80"/>
      <x:c r="H131" s="80"/>
      <x:c r="I131" s="80"/>
      <x:c r="J131" s="80"/>
      <x:c r="K131" s="196" t="str">
        <x:f>IF(COUNTA(F131:J131)=0,"",F131*'01_CONFIG'!$B$6+G131*'01_CONFIG'!$B$7+H131*'01_CONFIG'!$B$8+I131*'01_CONFIG'!$B$9+J131*'01_CONFIG'!$B$10)</x:f>
      </x:c>
      <x:c r="L131" s="34"/>
      <x:c r="M131" s="34"/>
      <x:c r="N131" s="172"/>
      <x:c r="O131" s="34"/>
      <x:c r="P131" s="35"/>
    </x:row>
    <x:row r="132">
      <x:c r="A132" s="34"/>
      <x:c r="B132" s="34"/>
      <x:c r="C132" s="34"/>
      <x:c r="D132" s="78"/>
      <x:c r="E132" s="78"/>
      <x:c r="F132" s="80"/>
      <x:c r="G132" s="80"/>
      <x:c r="H132" s="80"/>
      <x:c r="I132" s="80"/>
      <x:c r="J132" s="80"/>
      <x:c r="K132" s="196" t="str">
        <x:f>IF(COUNTA(F132:J132)=0,"",F132*'01_CONFIG'!$B$6+G132*'01_CONFIG'!$B$7+H132*'01_CONFIG'!$B$8+I132*'01_CONFIG'!$B$9+J132*'01_CONFIG'!$B$10)</x:f>
      </x:c>
      <x:c r="L132" s="34"/>
      <x:c r="M132" s="34"/>
      <x:c r="N132" s="172"/>
      <x:c r="O132" s="34"/>
      <x:c r="P132" s="35"/>
    </x:row>
    <x:row r="133">
      <x:c r="A133" s="34"/>
      <x:c r="B133" s="34"/>
      <x:c r="C133" s="34"/>
      <x:c r="D133" s="78"/>
      <x:c r="E133" s="78"/>
      <x:c r="F133" s="80"/>
      <x:c r="G133" s="80"/>
      <x:c r="H133" s="80"/>
      <x:c r="I133" s="80"/>
      <x:c r="J133" s="80"/>
      <x:c r="K133" s="196" t="str">
        <x:f>IF(COUNTA(F133:J133)=0,"",F133*'01_CONFIG'!$B$6+G133*'01_CONFIG'!$B$7+H133*'01_CONFIG'!$B$8+I133*'01_CONFIG'!$B$9+J133*'01_CONFIG'!$B$10)</x:f>
      </x:c>
      <x:c r="L133" s="34"/>
      <x:c r="M133" s="34"/>
      <x:c r="N133" s="172"/>
      <x:c r="O133" s="34"/>
      <x:c r="P133" s="35"/>
    </x:row>
    <x:row r="134">
      <x:c r="A134" s="34"/>
      <x:c r="B134" s="34"/>
      <x:c r="C134" s="34"/>
      <x:c r="D134" s="78"/>
      <x:c r="E134" s="78"/>
      <x:c r="F134" s="80"/>
      <x:c r="G134" s="80"/>
      <x:c r="H134" s="80"/>
      <x:c r="I134" s="80"/>
      <x:c r="J134" s="80"/>
      <x:c r="K134" s="196" t="str">
        <x:f>IF(COUNTA(F134:J134)=0,"",F134*'01_CONFIG'!$B$6+G134*'01_CONFIG'!$B$7+H134*'01_CONFIG'!$B$8+I134*'01_CONFIG'!$B$9+J134*'01_CONFIG'!$B$10)</x:f>
      </x:c>
      <x:c r="L134" s="34"/>
      <x:c r="M134" s="34"/>
      <x:c r="N134" s="172"/>
      <x:c r="O134" s="34"/>
      <x:c r="P134" s="35"/>
    </x:row>
    <x:row r="135">
      <x:c r="A135" s="34"/>
      <x:c r="B135" s="34"/>
      <x:c r="C135" s="34"/>
      <x:c r="D135" s="78"/>
      <x:c r="E135" s="78"/>
      <x:c r="F135" s="80"/>
      <x:c r="G135" s="80"/>
      <x:c r="H135" s="80"/>
      <x:c r="I135" s="80"/>
      <x:c r="J135" s="80"/>
      <x:c r="K135" s="196" t="str">
        <x:f>IF(COUNTA(F135:J135)=0,"",F135*'01_CONFIG'!$B$6+G135*'01_CONFIG'!$B$7+H135*'01_CONFIG'!$B$8+I135*'01_CONFIG'!$B$9+J135*'01_CONFIG'!$B$10)</x:f>
      </x:c>
      <x:c r="L135" s="34"/>
      <x:c r="M135" s="34"/>
      <x:c r="N135" s="172"/>
      <x:c r="O135" s="34"/>
      <x:c r="P135" s="35"/>
    </x:row>
    <x:row r="136">
      <x:c r="A136" s="34"/>
      <x:c r="B136" s="34"/>
      <x:c r="C136" s="34"/>
      <x:c r="D136" s="78"/>
      <x:c r="E136" s="78"/>
      <x:c r="F136" s="80"/>
      <x:c r="G136" s="80"/>
      <x:c r="H136" s="80"/>
      <x:c r="I136" s="80"/>
      <x:c r="J136" s="80"/>
      <x:c r="K136" s="196" t="str">
        <x:f>IF(COUNTA(F136:J136)=0,"",F136*'01_CONFIG'!$B$6+G136*'01_CONFIG'!$B$7+H136*'01_CONFIG'!$B$8+I136*'01_CONFIG'!$B$9+J136*'01_CONFIG'!$B$10)</x:f>
      </x:c>
      <x:c r="L136" s="34"/>
      <x:c r="M136" s="34"/>
      <x:c r="N136" s="172"/>
      <x:c r="O136" s="34"/>
      <x:c r="P136" s="35"/>
    </x:row>
    <x:row r="137">
      <x:c r="A137" s="34"/>
      <x:c r="B137" s="34"/>
      <x:c r="C137" s="34"/>
      <x:c r="D137" s="78"/>
      <x:c r="E137" s="78"/>
      <x:c r="F137" s="80"/>
      <x:c r="G137" s="80"/>
      <x:c r="H137" s="80"/>
      <x:c r="I137" s="80"/>
      <x:c r="J137" s="80"/>
      <x:c r="K137" s="196" t="str">
        <x:f>IF(COUNTA(F137:J137)=0,"",F137*'01_CONFIG'!$B$6+G137*'01_CONFIG'!$B$7+H137*'01_CONFIG'!$B$8+I137*'01_CONFIG'!$B$9+J137*'01_CONFIG'!$B$10)</x:f>
      </x:c>
      <x:c r="L137" s="34"/>
      <x:c r="M137" s="34"/>
      <x:c r="N137" s="172"/>
      <x:c r="O137" s="34"/>
      <x:c r="P137" s="35"/>
    </x:row>
    <x:row r="138">
      <x:c r="A138" s="34"/>
      <x:c r="B138" s="34"/>
      <x:c r="C138" s="34"/>
      <x:c r="D138" s="78"/>
      <x:c r="E138" s="78"/>
      <x:c r="F138" s="80"/>
      <x:c r="G138" s="80"/>
      <x:c r="H138" s="80"/>
      <x:c r="I138" s="80"/>
      <x:c r="J138" s="80"/>
      <x:c r="K138" s="196" t="str">
        <x:f>IF(COUNTA(F138:J138)=0,"",F138*'01_CONFIG'!$B$6+G138*'01_CONFIG'!$B$7+H138*'01_CONFIG'!$B$8+I138*'01_CONFIG'!$B$9+J138*'01_CONFIG'!$B$10)</x:f>
      </x:c>
      <x:c r="L138" s="34"/>
      <x:c r="M138" s="34"/>
      <x:c r="N138" s="172"/>
      <x:c r="O138" s="34"/>
      <x:c r="P138" s="35"/>
    </x:row>
    <x:row r="139">
      <x:c r="A139" s="34"/>
      <x:c r="B139" s="34"/>
      <x:c r="C139" s="34"/>
      <x:c r="D139" s="78"/>
      <x:c r="E139" s="78"/>
      <x:c r="F139" s="80"/>
      <x:c r="G139" s="80"/>
      <x:c r="H139" s="80"/>
      <x:c r="I139" s="80"/>
      <x:c r="J139" s="80"/>
      <x:c r="K139" s="196" t="str">
        <x:f>IF(COUNTA(F139:J139)=0,"",F139*'01_CONFIG'!$B$6+G139*'01_CONFIG'!$B$7+H139*'01_CONFIG'!$B$8+I139*'01_CONFIG'!$B$9+J139*'01_CONFIG'!$B$10)</x:f>
      </x:c>
      <x:c r="L139" s="34"/>
      <x:c r="M139" s="34"/>
      <x:c r="N139" s="172"/>
      <x:c r="O139" s="34"/>
      <x:c r="P139" s="35"/>
    </x:row>
    <x:row r="140">
      <x:c r="A140" s="34"/>
      <x:c r="B140" s="34"/>
      <x:c r="C140" s="34"/>
      <x:c r="D140" s="78"/>
      <x:c r="E140" s="78"/>
      <x:c r="F140" s="80"/>
      <x:c r="G140" s="80"/>
      <x:c r="H140" s="80"/>
      <x:c r="I140" s="80"/>
      <x:c r="J140" s="80"/>
      <x:c r="K140" s="196" t="str">
        <x:f>IF(COUNTA(F140:J140)=0,"",F140*'01_CONFIG'!$B$6+G140*'01_CONFIG'!$B$7+H140*'01_CONFIG'!$B$8+I140*'01_CONFIG'!$B$9+J140*'01_CONFIG'!$B$10)</x:f>
      </x:c>
      <x:c r="L140" s="34"/>
      <x:c r="M140" s="34"/>
      <x:c r="N140" s="172"/>
      <x:c r="O140" s="34"/>
      <x:c r="P140" s="35"/>
    </x:row>
    <x:row r="141">
      <x:c r="A141" s="34"/>
      <x:c r="B141" s="34"/>
      <x:c r="C141" s="34"/>
      <x:c r="D141" s="78"/>
      <x:c r="E141" s="78"/>
      <x:c r="F141" s="80"/>
      <x:c r="G141" s="80"/>
      <x:c r="H141" s="80"/>
      <x:c r="I141" s="80"/>
      <x:c r="J141" s="80"/>
      <x:c r="K141" s="196" t="str">
        <x:f>IF(COUNTA(F141:J141)=0,"",F141*'01_CONFIG'!$B$6+G141*'01_CONFIG'!$B$7+H141*'01_CONFIG'!$B$8+I141*'01_CONFIG'!$B$9+J141*'01_CONFIG'!$B$10)</x:f>
      </x:c>
      <x:c r="L141" s="34"/>
      <x:c r="M141" s="34"/>
      <x:c r="N141" s="172"/>
      <x:c r="O141" s="34"/>
      <x:c r="P141" s="35"/>
    </x:row>
    <x:row r="142">
      <x:c r="A142" s="34"/>
      <x:c r="B142" s="34"/>
      <x:c r="C142" s="34"/>
      <x:c r="D142" s="78"/>
      <x:c r="E142" s="78"/>
      <x:c r="F142" s="80"/>
      <x:c r="G142" s="80"/>
      <x:c r="H142" s="80"/>
      <x:c r="I142" s="80"/>
      <x:c r="J142" s="80"/>
      <x:c r="K142" s="196" t="str">
        <x:f>IF(COUNTA(F142:J142)=0,"",F142*'01_CONFIG'!$B$6+G142*'01_CONFIG'!$B$7+H142*'01_CONFIG'!$B$8+I142*'01_CONFIG'!$B$9+J142*'01_CONFIG'!$B$10)</x:f>
      </x:c>
      <x:c r="L142" s="34"/>
      <x:c r="M142" s="34"/>
      <x:c r="N142" s="172"/>
      <x:c r="O142" s="34"/>
      <x:c r="P142" s="35"/>
    </x:row>
    <x:row r="143">
      <x:c r="A143" s="34"/>
      <x:c r="B143" s="34"/>
      <x:c r="C143" s="34"/>
      <x:c r="D143" s="78"/>
      <x:c r="E143" s="78"/>
      <x:c r="F143" s="80"/>
      <x:c r="G143" s="80"/>
      <x:c r="H143" s="80"/>
      <x:c r="I143" s="80"/>
      <x:c r="J143" s="80"/>
      <x:c r="K143" s="196" t="str">
        <x:f>IF(COUNTA(F143:J143)=0,"",F143*'01_CONFIG'!$B$6+G143*'01_CONFIG'!$B$7+H143*'01_CONFIG'!$B$8+I143*'01_CONFIG'!$B$9+J143*'01_CONFIG'!$B$10)</x:f>
      </x:c>
      <x:c r="L143" s="34"/>
      <x:c r="M143" s="34"/>
      <x:c r="N143" s="172"/>
      <x:c r="O143" s="34"/>
      <x:c r="P143" s="35"/>
    </x:row>
    <x:row r="144">
      <x:c r="A144" s="34"/>
      <x:c r="B144" s="34"/>
      <x:c r="C144" s="34"/>
      <x:c r="D144" s="78"/>
      <x:c r="E144" s="78"/>
      <x:c r="F144" s="80"/>
      <x:c r="G144" s="80"/>
      <x:c r="H144" s="80"/>
      <x:c r="I144" s="80"/>
      <x:c r="J144" s="80"/>
      <x:c r="K144" s="196" t="str">
        <x:f>IF(COUNTA(F144:J144)=0,"",F144*'01_CONFIG'!$B$6+G144*'01_CONFIG'!$B$7+H144*'01_CONFIG'!$B$8+I144*'01_CONFIG'!$B$9+J144*'01_CONFIG'!$B$10)</x:f>
      </x:c>
      <x:c r="L144" s="34"/>
      <x:c r="M144" s="34"/>
      <x:c r="N144" s="172"/>
      <x:c r="O144" s="34"/>
      <x:c r="P144" s="35"/>
    </x:row>
    <x:row r="145">
      <x:c r="A145" s="34"/>
      <x:c r="B145" s="34"/>
      <x:c r="C145" s="34"/>
      <x:c r="D145" s="78"/>
      <x:c r="E145" s="78"/>
      <x:c r="F145" s="80"/>
      <x:c r="G145" s="80"/>
      <x:c r="H145" s="80"/>
      <x:c r="I145" s="80"/>
      <x:c r="J145" s="80"/>
      <x:c r="K145" s="196" t="str">
        <x:f>IF(COUNTA(F145:J145)=0,"",F145*'01_CONFIG'!$B$6+G145*'01_CONFIG'!$B$7+H145*'01_CONFIG'!$B$8+I145*'01_CONFIG'!$B$9+J145*'01_CONFIG'!$B$10)</x:f>
      </x:c>
      <x:c r="L145" s="34"/>
      <x:c r="M145" s="34"/>
      <x:c r="N145" s="172"/>
      <x:c r="O145" s="34"/>
      <x:c r="P145" s="35"/>
    </x:row>
    <x:row r="146">
      <x:c r="A146" s="34"/>
      <x:c r="B146" s="34"/>
      <x:c r="C146" s="34"/>
      <x:c r="D146" s="78"/>
      <x:c r="E146" s="78"/>
      <x:c r="F146" s="80"/>
      <x:c r="G146" s="80"/>
      <x:c r="H146" s="80"/>
      <x:c r="I146" s="80"/>
      <x:c r="J146" s="80"/>
      <x:c r="K146" s="196" t="str">
        <x:f>IF(COUNTA(F146:J146)=0,"",F146*'01_CONFIG'!$B$6+G146*'01_CONFIG'!$B$7+H146*'01_CONFIG'!$B$8+I146*'01_CONFIG'!$B$9+J146*'01_CONFIG'!$B$10)</x:f>
      </x:c>
      <x:c r="L146" s="34"/>
      <x:c r="M146" s="34"/>
      <x:c r="N146" s="172"/>
      <x:c r="O146" s="34"/>
      <x:c r="P146" s="35"/>
    </x:row>
    <x:row r="147">
      <x:c r="A147" s="34"/>
      <x:c r="B147" s="34"/>
      <x:c r="C147" s="34"/>
      <x:c r="D147" s="78"/>
      <x:c r="E147" s="78"/>
      <x:c r="F147" s="80"/>
      <x:c r="G147" s="80"/>
      <x:c r="H147" s="80"/>
      <x:c r="I147" s="80"/>
      <x:c r="J147" s="80"/>
      <x:c r="K147" s="196" t="str">
        <x:f>IF(COUNTA(F147:J147)=0,"",F147*'01_CONFIG'!$B$6+G147*'01_CONFIG'!$B$7+H147*'01_CONFIG'!$B$8+I147*'01_CONFIG'!$B$9+J147*'01_CONFIG'!$B$10)</x:f>
      </x:c>
      <x:c r="L147" s="34"/>
      <x:c r="M147" s="34"/>
      <x:c r="N147" s="172"/>
      <x:c r="O147" s="34"/>
      <x:c r="P147" s="35"/>
    </x:row>
    <x:row r="148">
      <x:c r="A148" s="34"/>
      <x:c r="B148" s="34"/>
      <x:c r="C148" s="34"/>
      <x:c r="D148" s="78"/>
      <x:c r="E148" s="78"/>
      <x:c r="F148" s="80"/>
      <x:c r="G148" s="80"/>
      <x:c r="H148" s="80"/>
      <x:c r="I148" s="80"/>
      <x:c r="J148" s="80"/>
      <x:c r="K148" s="196" t="str">
        <x:f>IF(COUNTA(F148:J148)=0,"",F148*'01_CONFIG'!$B$6+G148*'01_CONFIG'!$B$7+H148*'01_CONFIG'!$B$8+I148*'01_CONFIG'!$B$9+J148*'01_CONFIG'!$B$10)</x:f>
      </x:c>
      <x:c r="L148" s="34"/>
      <x:c r="M148" s="34"/>
      <x:c r="N148" s="172"/>
      <x:c r="O148" s="34"/>
      <x:c r="P148" s="35"/>
    </x:row>
    <x:row r="149">
      <x:c r="A149" s="34"/>
      <x:c r="B149" s="34"/>
      <x:c r="C149" s="34"/>
      <x:c r="D149" s="78"/>
      <x:c r="E149" s="78"/>
      <x:c r="F149" s="80"/>
      <x:c r="G149" s="80"/>
      <x:c r="H149" s="80"/>
      <x:c r="I149" s="80"/>
      <x:c r="J149" s="80"/>
      <x:c r="K149" s="196" t="str">
        <x:f>IF(COUNTA(F149:J149)=0,"",F149*'01_CONFIG'!$B$6+G149*'01_CONFIG'!$B$7+H149*'01_CONFIG'!$B$8+I149*'01_CONFIG'!$B$9+J149*'01_CONFIG'!$B$10)</x:f>
      </x:c>
      <x:c r="L149" s="34"/>
      <x:c r="M149" s="34"/>
      <x:c r="N149" s="172"/>
      <x:c r="O149" s="34"/>
      <x:c r="P149" s="35"/>
    </x:row>
    <x:row r="150">
      <x:c r="A150" s="34"/>
      <x:c r="B150" s="34"/>
      <x:c r="C150" s="34"/>
      <x:c r="D150" s="78"/>
      <x:c r="E150" s="78"/>
      <x:c r="F150" s="80"/>
      <x:c r="G150" s="80"/>
      <x:c r="H150" s="80"/>
      <x:c r="I150" s="80"/>
      <x:c r="J150" s="80"/>
      <x:c r="K150" s="196" t="str">
        <x:f>IF(COUNTA(F150:J150)=0,"",F150*'01_CONFIG'!$B$6+G150*'01_CONFIG'!$B$7+H150*'01_CONFIG'!$B$8+I150*'01_CONFIG'!$B$9+J150*'01_CONFIG'!$B$10)</x:f>
      </x:c>
      <x:c r="L150" s="34"/>
      <x:c r="M150" s="34"/>
      <x:c r="N150" s="172"/>
      <x:c r="O150" s="34"/>
      <x:c r="P150" s="35"/>
    </x:row>
    <x:row r="151">
      <x:c r="A151" s="34"/>
      <x:c r="B151" s="34"/>
      <x:c r="C151" s="34"/>
      <x:c r="D151" s="78"/>
      <x:c r="E151" s="78"/>
      <x:c r="F151" s="80"/>
      <x:c r="G151" s="80"/>
      <x:c r="H151" s="80"/>
      <x:c r="I151" s="80"/>
      <x:c r="J151" s="80"/>
      <x:c r="K151" s="196" t="str">
        <x:f>IF(COUNTA(F151:J151)=0,"",F151*'01_CONFIG'!$B$6+G151*'01_CONFIG'!$B$7+H151*'01_CONFIG'!$B$8+I151*'01_CONFIG'!$B$9+J151*'01_CONFIG'!$B$10)</x:f>
      </x:c>
      <x:c r="L151" s="34"/>
      <x:c r="M151" s="34"/>
      <x:c r="N151" s="172"/>
      <x:c r="O151" s="34"/>
      <x:c r="P151" s="35"/>
    </x:row>
    <x:row r="152">
      <x:c r="A152" s="34"/>
      <x:c r="B152" s="34"/>
      <x:c r="C152" s="34"/>
      <x:c r="D152" s="78"/>
      <x:c r="E152" s="78"/>
      <x:c r="F152" s="80"/>
      <x:c r="G152" s="80"/>
      <x:c r="H152" s="80"/>
      <x:c r="I152" s="80"/>
      <x:c r="J152" s="80"/>
      <x:c r="K152" s="196" t="str">
        <x:f>IF(COUNTA(F152:J152)=0,"",F152*'01_CONFIG'!$B$6+G152*'01_CONFIG'!$B$7+H152*'01_CONFIG'!$B$8+I152*'01_CONFIG'!$B$9+J152*'01_CONFIG'!$B$10)</x:f>
      </x:c>
      <x:c r="L152" s="34"/>
      <x:c r="M152" s="34"/>
      <x:c r="N152" s="172"/>
      <x:c r="O152" s="34"/>
      <x:c r="P152" s="35"/>
    </x:row>
    <x:row r="153">
      <x:c r="A153" s="34"/>
      <x:c r="B153" s="34"/>
      <x:c r="C153" s="34"/>
      <x:c r="D153" s="78"/>
      <x:c r="E153" s="78"/>
      <x:c r="F153" s="80"/>
      <x:c r="G153" s="80"/>
      <x:c r="H153" s="80"/>
      <x:c r="I153" s="80"/>
      <x:c r="J153" s="80"/>
      <x:c r="K153" s="196" t="str">
        <x:f>IF(COUNTA(F153:J153)=0,"",F153*'01_CONFIG'!$B$6+G153*'01_CONFIG'!$B$7+H153*'01_CONFIG'!$B$8+I153*'01_CONFIG'!$B$9+J153*'01_CONFIG'!$B$10)</x:f>
      </x:c>
      <x:c r="L153" s="34"/>
      <x:c r="M153" s="34"/>
      <x:c r="N153" s="172"/>
      <x:c r="O153" s="34"/>
      <x:c r="P153" s="35"/>
    </x:row>
    <x:row r="154">
      <x:c r="A154" s="34"/>
      <x:c r="B154" s="34"/>
      <x:c r="C154" s="34"/>
      <x:c r="D154" s="78"/>
      <x:c r="E154" s="78"/>
      <x:c r="F154" s="80"/>
      <x:c r="G154" s="80"/>
      <x:c r="H154" s="80"/>
      <x:c r="I154" s="80"/>
      <x:c r="J154" s="80"/>
      <x:c r="K154" s="196" t="str">
        <x:f>IF(COUNTA(F154:J154)=0,"",F154*'01_CONFIG'!$B$6+G154*'01_CONFIG'!$B$7+H154*'01_CONFIG'!$B$8+I154*'01_CONFIG'!$B$9+J154*'01_CONFIG'!$B$10)</x:f>
      </x:c>
      <x:c r="L154" s="34"/>
      <x:c r="M154" s="34"/>
      <x:c r="N154" s="172"/>
      <x:c r="O154" s="34"/>
      <x:c r="P154" s="35"/>
    </x:row>
    <x:row r="155">
      <x:c r="A155" s="34"/>
      <x:c r="B155" s="34"/>
      <x:c r="C155" s="34"/>
      <x:c r="D155" s="78"/>
      <x:c r="E155" s="78"/>
      <x:c r="F155" s="80"/>
      <x:c r="G155" s="80"/>
      <x:c r="H155" s="80"/>
      <x:c r="I155" s="80"/>
      <x:c r="J155" s="80"/>
      <x:c r="K155" s="196" t="str">
        <x:f>IF(COUNTA(F155:J155)=0,"",F155*'01_CONFIG'!$B$6+G155*'01_CONFIG'!$B$7+H155*'01_CONFIG'!$B$8+I155*'01_CONFIG'!$B$9+J155*'01_CONFIG'!$B$10)</x:f>
      </x:c>
      <x:c r="L155" s="34"/>
      <x:c r="M155" s="34"/>
      <x:c r="N155" s="172"/>
      <x:c r="O155" s="34"/>
      <x:c r="P155" s="35"/>
    </x:row>
    <x:row r="156">
      <x:c r="A156" s="34"/>
      <x:c r="B156" s="34"/>
      <x:c r="C156" s="34"/>
      <x:c r="D156" s="78"/>
      <x:c r="E156" s="78"/>
      <x:c r="F156" s="80"/>
      <x:c r="G156" s="80"/>
      <x:c r="H156" s="80"/>
      <x:c r="I156" s="80"/>
      <x:c r="J156" s="80"/>
      <x:c r="K156" s="196" t="str">
        <x:f>IF(COUNTA(F156:J156)=0,"",F156*'01_CONFIG'!$B$6+G156*'01_CONFIG'!$B$7+H156*'01_CONFIG'!$B$8+I156*'01_CONFIG'!$B$9+J156*'01_CONFIG'!$B$10)</x:f>
      </x:c>
      <x:c r="L156" s="34"/>
      <x:c r="M156" s="34"/>
      <x:c r="N156" s="172"/>
      <x:c r="O156" s="34"/>
      <x:c r="P156" s="35"/>
    </x:row>
    <x:row r="157">
      <x:c r="A157" s="34"/>
      <x:c r="B157" s="34"/>
      <x:c r="C157" s="34"/>
      <x:c r="D157" s="78"/>
      <x:c r="E157" s="78"/>
      <x:c r="F157" s="80"/>
      <x:c r="G157" s="80"/>
      <x:c r="H157" s="80"/>
      <x:c r="I157" s="80"/>
      <x:c r="J157" s="80"/>
      <x:c r="K157" s="196" t="str">
        <x:f>IF(COUNTA(F157:J157)=0,"",F157*'01_CONFIG'!$B$6+G157*'01_CONFIG'!$B$7+H157*'01_CONFIG'!$B$8+I157*'01_CONFIG'!$B$9+J157*'01_CONFIG'!$B$10)</x:f>
      </x:c>
      <x:c r="L157" s="34"/>
      <x:c r="M157" s="34"/>
      <x:c r="N157" s="172"/>
      <x:c r="O157" s="34"/>
      <x:c r="P157" s="35"/>
    </x:row>
    <x:row r="158">
      <x:c r="A158" s="34"/>
      <x:c r="B158" s="34"/>
      <x:c r="C158" s="34"/>
      <x:c r="D158" s="78"/>
      <x:c r="E158" s="78"/>
      <x:c r="F158" s="80"/>
      <x:c r="G158" s="80"/>
      <x:c r="H158" s="80"/>
      <x:c r="I158" s="80"/>
      <x:c r="J158" s="80"/>
      <x:c r="K158" s="196" t="str">
        <x:f>IF(COUNTA(F158:J158)=0,"",F158*'01_CONFIG'!$B$6+G158*'01_CONFIG'!$B$7+H158*'01_CONFIG'!$B$8+I158*'01_CONFIG'!$B$9+J158*'01_CONFIG'!$B$10)</x:f>
      </x:c>
      <x:c r="L158" s="34"/>
      <x:c r="M158" s="34"/>
      <x:c r="N158" s="172"/>
      <x:c r="O158" s="34"/>
      <x:c r="P158" s="35"/>
    </x:row>
    <x:row r="159">
      <x:c r="A159" s="34"/>
      <x:c r="B159" s="34"/>
      <x:c r="C159" s="34"/>
      <x:c r="D159" s="78"/>
      <x:c r="E159" s="78"/>
      <x:c r="F159" s="80"/>
      <x:c r="G159" s="80"/>
      <x:c r="H159" s="80"/>
      <x:c r="I159" s="80"/>
      <x:c r="J159" s="80"/>
      <x:c r="K159" s="196" t="str">
        <x:f>IF(COUNTA(F159:J159)=0,"",F159*'01_CONFIG'!$B$6+G159*'01_CONFIG'!$B$7+H159*'01_CONFIG'!$B$8+I159*'01_CONFIG'!$B$9+J159*'01_CONFIG'!$B$10)</x:f>
      </x:c>
      <x:c r="L159" s="34"/>
      <x:c r="M159" s="34"/>
      <x:c r="N159" s="172"/>
      <x:c r="O159" s="34"/>
      <x:c r="P159" s="35"/>
    </x:row>
    <x:row r="160">
      <x:c r="A160" s="34"/>
      <x:c r="B160" s="34"/>
      <x:c r="C160" s="34"/>
      <x:c r="D160" s="78"/>
      <x:c r="E160" s="78"/>
      <x:c r="F160" s="80"/>
      <x:c r="G160" s="80"/>
      <x:c r="H160" s="80"/>
      <x:c r="I160" s="80"/>
      <x:c r="J160" s="80"/>
      <x:c r="K160" s="196" t="str">
        <x:f>IF(COUNTA(F160:J160)=0,"",F160*'01_CONFIG'!$B$6+G160*'01_CONFIG'!$B$7+H160*'01_CONFIG'!$B$8+I160*'01_CONFIG'!$B$9+J160*'01_CONFIG'!$B$10)</x:f>
      </x:c>
      <x:c r="L160" s="34"/>
      <x:c r="M160" s="34"/>
      <x:c r="N160" s="172"/>
      <x:c r="O160" s="34"/>
      <x:c r="P160" s="35"/>
    </x:row>
    <x:row r="161">
      <x:c r="A161" s="34"/>
      <x:c r="B161" s="34"/>
      <x:c r="C161" s="34"/>
      <x:c r="D161" s="78"/>
      <x:c r="E161" s="78"/>
      <x:c r="F161" s="80"/>
      <x:c r="G161" s="80"/>
      <x:c r="H161" s="80"/>
      <x:c r="I161" s="80"/>
      <x:c r="J161" s="80"/>
      <x:c r="K161" s="196" t="str">
        <x:f>IF(COUNTA(F161:J161)=0,"",F161*'01_CONFIG'!$B$6+G161*'01_CONFIG'!$B$7+H161*'01_CONFIG'!$B$8+I161*'01_CONFIG'!$B$9+J161*'01_CONFIG'!$B$10)</x:f>
      </x:c>
      <x:c r="L161" s="34"/>
      <x:c r="M161" s="34"/>
      <x:c r="N161" s="172"/>
      <x:c r="O161" s="34"/>
      <x:c r="P161" s="35"/>
    </x:row>
    <x:row r="162">
      <x:c r="A162" s="34"/>
      <x:c r="B162" s="34"/>
      <x:c r="C162" s="34"/>
      <x:c r="D162" s="78"/>
      <x:c r="E162" s="78"/>
      <x:c r="F162" s="80"/>
      <x:c r="G162" s="80"/>
      <x:c r="H162" s="80"/>
      <x:c r="I162" s="80"/>
      <x:c r="J162" s="80"/>
      <x:c r="K162" s="196" t="str">
        <x:f>IF(COUNTA(F162:J162)=0,"",F162*'01_CONFIG'!$B$6+G162*'01_CONFIG'!$B$7+H162*'01_CONFIG'!$B$8+I162*'01_CONFIG'!$B$9+J162*'01_CONFIG'!$B$10)</x:f>
      </x:c>
      <x:c r="L162" s="34"/>
      <x:c r="M162" s="34"/>
      <x:c r="N162" s="172"/>
      <x:c r="O162" s="34"/>
      <x:c r="P162" s="35"/>
    </x:row>
    <x:row r="163">
      <x:c r="A163" s="34"/>
      <x:c r="B163" s="34"/>
      <x:c r="C163" s="34"/>
      <x:c r="D163" s="78"/>
      <x:c r="E163" s="78"/>
      <x:c r="F163" s="80"/>
      <x:c r="G163" s="80"/>
      <x:c r="H163" s="80"/>
      <x:c r="I163" s="80"/>
      <x:c r="J163" s="80"/>
      <x:c r="K163" s="196" t="str">
        <x:f>IF(COUNTA(F163:J163)=0,"",F163*'01_CONFIG'!$B$6+G163*'01_CONFIG'!$B$7+H163*'01_CONFIG'!$B$8+I163*'01_CONFIG'!$B$9+J163*'01_CONFIG'!$B$10)</x:f>
      </x:c>
      <x:c r="L163" s="34"/>
      <x:c r="M163" s="34"/>
      <x:c r="N163" s="172"/>
      <x:c r="O163" s="34"/>
      <x:c r="P163" s="35"/>
    </x:row>
    <x:row r="164">
      <x:c r="A164" s="34"/>
      <x:c r="B164" s="34"/>
      <x:c r="C164" s="34"/>
      <x:c r="D164" s="78"/>
      <x:c r="E164" s="78"/>
      <x:c r="F164" s="80"/>
      <x:c r="G164" s="80"/>
      <x:c r="H164" s="80"/>
      <x:c r="I164" s="80"/>
      <x:c r="J164" s="80"/>
      <x:c r="K164" s="196" t="str">
        <x:f>IF(COUNTA(F164:J164)=0,"",F164*'01_CONFIG'!$B$6+G164*'01_CONFIG'!$B$7+H164*'01_CONFIG'!$B$8+I164*'01_CONFIG'!$B$9+J164*'01_CONFIG'!$B$10)</x:f>
      </x:c>
      <x:c r="L164" s="34"/>
      <x:c r="M164" s="34"/>
      <x:c r="N164" s="172"/>
      <x:c r="O164" s="34"/>
      <x:c r="P164" s="35"/>
    </x:row>
    <x:row r="165">
      <x:c r="A165" s="34"/>
      <x:c r="B165" s="34"/>
      <x:c r="C165" s="34"/>
      <x:c r="D165" s="78"/>
      <x:c r="E165" s="78"/>
      <x:c r="F165" s="80"/>
      <x:c r="G165" s="80"/>
      <x:c r="H165" s="80"/>
      <x:c r="I165" s="80"/>
      <x:c r="J165" s="80"/>
      <x:c r="K165" s="196" t="str">
        <x:f>IF(COUNTA(F165:J165)=0,"",F165*'01_CONFIG'!$B$6+G165*'01_CONFIG'!$B$7+H165*'01_CONFIG'!$B$8+I165*'01_CONFIG'!$B$9+J165*'01_CONFIG'!$B$10)</x:f>
      </x:c>
      <x:c r="L165" s="34"/>
      <x:c r="M165" s="34"/>
      <x:c r="N165" s="172"/>
      <x:c r="O165" s="34"/>
      <x:c r="P165" s="35"/>
    </x:row>
    <x:row r="166">
      <x:c r="A166" s="34"/>
      <x:c r="B166" s="34"/>
      <x:c r="C166" s="34"/>
      <x:c r="D166" s="78"/>
      <x:c r="E166" s="78"/>
      <x:c r="F166" s="80"/>
      <x:c r="G166" s="80"/>
      <x:c r="H166" s="80"/>
      <x:c r="I166" s="80"/>
      <x:c r="J166" s="80"/>
      <x:c r="K166" s="196" t="str">
        <x:f>IF(COUNTA(F166:J166)=0,"",F166*'01_CONFIG'!$B$6+G166*'01_CONFIG'!$B$7+H166*'01_CONFIG'!$B$8+I166*'01_CONFIG'!$B$9+J166*'01_CONFIG'!$B$10)</x:f>
      </x:c>
      <x:c r="L166" s="34"/>
      <x:c r="M166" s="34"/>
      <x:c r="N166" s="172"/>
      <x:c r="O166" s="34"/>
      <x:c r="P166" s="35"/>
    </x:row>
    <x:row r="167">
      <x:c r="A167" s="34"/>
      <x:c r="B167" s="34"/>
      <x:c r="C167" s="34"/>
      <x:c r="D167" s="78"/>
      <x:c r="E167" s="78"/>
      <x:c r="F167" s="80"/>
      <x:c r="G167" s="80"/>
      <x:c r="H167" s="80"/>
      <x:c r="I167" s="80"/>
      <x:c r="J167" s="80"/>
      <x:c r="K167" s="196" t="str">
        <x:f>IF(COUNTA(F167:J167)=0,"",F167*'01_CONFIG'!$B$6+G167*'01_CONFIG'!$B$7+H167*'01_CONFIG'!$B$8+I167*'01_CONFIG'!$B$9+J167*'01_CONFIG'!$B$10)</x:f>
      </x:c>
      <x:c r="L167" s="34"/>
      <x:c r="M167" s="34"/>
      <x:c r="N167" s="172"/>
      <x:c r="O167" s="34"/>
      <x:c r="P167" s="35"/>
    </x:row>
    <x:row r="168">
      <x:c r="A168" s="34"/>
      <x:c r="B168" s="34"/>
      <x:c r="C168" s="34"/>
      <x:c r="D168" s="78"/>
      <x:c r="E168" s="78"/>
      <x:c r="F168" s="80"/>
      <x:c r="G168" s="80"/>
      <x:c r="H168" s="80"/>
      <x:c r="I168" s="80"/>
      <x:c r="J168" s="80"/>
      <x:c r="K168" s="196" t="str">
        <x:f>IF(COUNTA(F168:J168)=0,"",F168*'01_CONFIG'!$B$6+G168*'01_CONFIG'!$B$7+H168*'01_CONFIG'!$B$8+I168*'01_CONFIG'!$B$9+J168*'01_CONFIG'!$B$10)</x:f>
      </x:c>
      <x:c r="L168" s="34"/>
      <x:c r="M168" s="34"/>
      <x:c r="N168" s="172"/>
      <x:c r="O168" s="34"/>
      <x:c r="P168" s="35"/>
    </x:row>
    <x:row r="169">
      <x:c r="A169" s="34"/>
      <x:c r="B169" s="34"/>
      <x:c r="C169" s="34"/>
      <x:c r="D169" s="78"/>
      <x:c r="E169" s="78"/>
      <x:c r="F169" s="80"/>
      <x:c r="G169" s="80"/>
      <x:c r="H169" s="80"/>
      <x:c r="I169" s="80"/>
      <x:c r="J169" s="80"/>
      <x:c r="K169" s="196" t="str">
        <x:f>IF(COUNTA(F169:J169)=0,"",F169*'01_CONFIG'!$B$6+G169*'01_CONFIG'!$B$7+H169*'01_CONFIG'!$B$8+I169*'01_CONFIG'!$B$9+J169*'01_CONFIG'!$B$10)</x:f>
      </x:c>
      <x:c r="L169" s="34"/>
      <x:c r="M169" s="34"/>
      <x:c r="N169" s="172"/>
      <x:c r="O169" s="34"/>
      <x:c r="P169" s="35"/>
    </x:row>
    <x:row r="170">
      <x:c r="A170" s="34"/>
      <x:c r="B170" s="34"/>
      <x:c r="C170" s="34"/>
      <x:c r="D170" s="78"/>
      <x:c r="E170" s="78"/>
      <x:c r="F170" s="80"/>
      <x:c r="G170" s="80"/>
      <x:c r="H170" s="80"/>
      <x:c r="I170" s="80"/>
      <x:c r="J170" s="80"/>
      <x:c r="K170" s="196" t="str">
        <x:f>IF(COUNTA(F170:J170)=0,"",F170*'01_CONFIG'!$B$6+G170*'01_CONFIG'!$B$7+H170*'01_CONFIG'!$B$8+I170*'01_CONFIG'!$B$9+J170*'01_CONFIG'!$B$10)</x:f>
      </x:c>
      <x:c r="L170" s="34"/>
      <x:c r="M170" s="34"/>
      <x:c r="N170" s="172"/>
      <x:c r="O170" s="34"/>
      <x:c r="P170" s="35"/>
    </x:row>
    <x:row r="171">
      <x:c r="A171" s="34"/>
      <x:c r="B171" s="34"/>
      <x:c r="C171" s="34"/>
      <x:c r="D171" s="78"/>
      <x:c r="E171" s="78"/>
      <x:c r="F171" s="80"/>
      <x:c r="G171" s="80"/>
      <x:c r="H171" s="80"/>
      <x:c r="I171" s="80"/>
      <x:c r="J171" s="80"/>
      <x:c r="K171" s="196" t="str">
        <x:f>IF(COUNTA(F171:J171)=0,"",F171*'01_CONFIG'!$B$6+G171*'01_CONFIG'!$B$7+H171*'01_CONFIG'!$B$8+I171*'01_CONFIG'!$B$9+J171*'01_CONFIG'!$B$10)</x:f>
      </x:c>
      <x:c r="L171" s="34"/>
      <x:c r="M171" s="34"/>
      <x:c r="N171" s="172"/>
      <x:c r="O171" s="34"/>
      <x:c r="P171" s="35"/>
    </x:row>
    <x:row r="172">
      <x:c r="A172" s="34"/>
      <x:c r="B172" s="34"/>
      <x:c r="C172" s="34"/>
      <x:c r="D172" s="78"/>
      <x:c r="E172" s="78"/>
      <x:c r="F172" s="80"/>
      <x:c r="G172" s="80"/>
      <x:c r="H172" s="80"/>
      <x:c r="I172" s="80"/>
      <x:c r="J172" s="80"/>
      <x:c r="K172" s="196" t="str">
        <x:f>IF(COUNTA(F172:J172)=0,"",F172*'01_CONFIG'!$B$6+G172*'01_CONFIG'!$B$7+H172*'01_CONFIG'!$B$8+I172*'01_CONFIG'!$B$9+J172*'01_CONFIG'!$B$10)</x:f>
      </x:c>
      <x:c r="L172" s="34"/>
      <x:c r="M172" s="34"/>
      <x:c r="N172" s="172"/>
      <x:c r="O172" s="34"/>
      <x:c r="P172" s="35"/>
    </x:row>
    <x:row r="173">
      <x:c r="A173" s="34"/>
      <x:c r="B173" s="34"/>
      <x:c r="C173" s="34"/>
      <x:c r="D173" s="78"/>
      <x:c r="E173" s="78"/>
      <x:c r="F173" s="80"/>
      <x:c r="G173" s="80"/>
      <x:c r="H173" s="80"/>
      <x:c r="I173" s="80"/>
      <x:c r="J173" s="80"/>
      <x:c r="K173" s="196" t="str">
        <x:f>IF(COUNTA(F173:J173)=0,"",F173*'01_CONFIG'!$B$6+G173*'01_CONFIG'!$B$7+H173*'01_CONFIG'!$B$8+I173*'01_CONFIG'!$B$9+J173*'01_CONFIG'!$B$10)</x:f>
      </x:c>
      <x:c r="L173" s="34"/>
      <x:c r="M173" s="34"/>
      <x:c r="N173" s="172"/>
      <x:c r="O173" s="34"/>
      <x:c r="P173" s="35"/>
    </x:row>
    <x:row r="174">
      <x:c r="A174" s="34"/>
      <x:c r="B174" s="34"/>
      <x:c r="C174" s="34"/>
      <x:c r="D174" s="78"/>
      <x:c r="E174" s="78"/>
      <x:c r="F174" s="80"/>
      <x:c r="G174" s="80"/>
      <x:c r="H174" s="80"/>
      <x:c r="I174" s="80"/>
      <x:c r="J174" s="80"/>
      <x:c r="K174" s="196" t="str">
        <x:f>IF(COUNTA(F174:J174)=0,"",F174*'01_CONFIG'!$B$6+G174*'01_CONFIG'!$B$7+H174*'01_CONFIG'!$B$8+I174*'01_CONFIG'!$B$9+J174*'01_CONFIG'!$B$10)</x:f>
      </x:c>
      <x:c r="L174" s="34"/>
      <x:c r="M174" s="34"/>
      <x:c r="N174" s="172"/>
      <x:c r="O174" s="34"/>
      <x:c r="P174" s="35"/>
    </x:row>
    <x:row r="175">
      <x:c r="A175" s="34"/>
      <x:c r="B175" s="34"/>
      <x:c r="C175" s="34"/>
      <x:c r="D175" s="78"/>
      <x:c r="E175" s="78"/>
      <x:c r="F175" s="80"/>
      <x:c r="G175" s="80"/>
      <x:c r="H175" s="80"/>
      <x:c r="I175" s="80"/>
      <x:c r="J175" s="80"/>
      <x:c r="K175" s="196" t="str">
        <x:f>IF(COUNTA(F175:J175)=0,"",F175*'01_CONFIG'!$B$6+G175*'01_CONFIG'!$B$7+H175*'01_CONFIG'!$B$8+I175*'01_CONFIG'!$B$9+J175*'01_CONFIG'!$B$10)</x:f>
      </x:c>
      <x:c r="L175" s="34"/>
      <x:c r="M175" s="34"/>
      <x:c r="N175" s="172"/>
      <x:c r="O175" s="34"/>
      <x:c r="P175" s="35"/>
    </x:row>
    <x:row r="176">
      <x:c r="A176" s="34"/>
      <x:c r="B176" s="34"/>
      <x:c r="C176" s="34"/>
      <x:c r="D176" s="78"/>
      <x:c r="E176" s="78"/>
      <x:c r="F176" s="80"/>
      <x:c r="G176" s="80"/>
      <x:c r="H176" s="80"/>
      <x:c r="I176" s="80"/>
      <x:c r="J176" s="80"/>
      <x:c r="K176" s="196" t="str">
        <x:f>IF(COUNTA(F176:J176)=0,"",F176*'01_CONFIG'!$B$6+G176*'01_CONFIG'!$B$7+H176*'01_CONFIG'!$B$8+I176*'01_CONFIG'!$B$9+J176*'01_CONFIG'!$B$10)</x:f>
      </x:c>
      <x:c r="L176" s="34"/>
      <x:c r="M176" s="34"/>
      <x:c r="N176" s="172"/>
      <x:c r="O176" s="34"/>
      <x:c r="P176" s="35"/>
    </x:row>
    <x:row r="177">
      <x:c r="A177" s="34"/>
      <x:c r="B177" s="34"/>
      <x:c r="C177" s="34"/>
      <x:c r="D177" s="78"/>
      <x:c r="E177" s="78"/>
      <x:c r="F177" s="80"/>
      <x:c r="G177" s="80"/>
      <x:c r="H177" s="80"/>
      <x:c r="I177" s="80"/>
      <x:c r="J177" s="80"/>
      <x:c r="K177" s="196" t="str">
        <x:f>IF(COUNTA(F177:J177)=0,"",F177*'01_CONFIG'!$B$6+G177*'01_CONFIG'!$B$7+H177*'01_CONFIG'!$B$8+I177*'01_CONFIG'!$B$9+J177*'01_CONFIG'!$B$10)</x:f>
      </x:c>
      <x:c r="L177" s="34"/>
      <x:c r="M177" s="34"/>
      <x:c r="N177" s="172"/>
      <x:c r="O177" s="34"/>
      <x:c r="P177" s="35"/>
    </x:row>
    <x:row r="178">
      <x:c r="A178" s="34"/>
      <x:c r="B178" s="34"/>
      <x:c r="C178" s="34"/>
      <x:c r="D178" s="78"/>
      <x:c r="E178" s="78"/>
      <x:c r="F178" s="80"/>
      <x:c r="G178" s="80"/>
      <x:c r="H178" s="80"/>
      <x:c r="I178" s="80"/>
      <x:c r="J178" s="80"/>
      <x:c r="K178" s="196" t="str">
        <x:f>IF(COUNTA(F178:J178)=0,"",F178*'01_CONFIG'!$B$6+G178*'01_CONFIG'!$B$7+H178*'01_CONFIG'!$B$8+I178*'01_CONFIG'!$B$9+J178*'01_CONFIG'!$B$10)</x:f>
      </x:c>
      <x:c r="L178" s="34"/>
      <x:c r="M178" s="34"/>
      <x:c r="N178" s="172"/>
      <x:c r="O178" s="34"/>
      <x:c r="P178" s="35"/>
    </x:row>
    <x:row r="179">
      <x:c r="A179" s="34"/>
      <x:c r="B179" s="34"/>
      <x:c r="C179" s="34"/>
      <x:c r="D179" s="78"/>
      <x:c r="E179" s="78"/>
      <x:c r="F179" s="80"/>
      <x:c r="G179" s="80"/>
      <x:c r="H179" s="80"/>
      <x:c r="I179" s="80"/>
      <x:c r="J179" s="80"/>
      <x:c r="K179" s="196" t="str">
        <x:f>IF(COUNTA(F179:J179)=0,"",F179*'01_CONFIG'!$B$6+G179*'01_CONFIG'!$B$7+H179*'01_CONFIG'!$B$8+I179*'01_CONFIG'!$B$9+J179*'01_CONFIG'!$B$10)</x:f>
      </x:c>
      <x:c r="L179" s="34"/>
      <x:c r="M179" s="34"/>
      <x:c r="N179" s="172"/>
      <x:c r="O179" s="34"/>
      <x:c r="P179" s="35"/>
    </x:row>
    <x:row r="180">
      <x:c r="A180" s="34"/>
      <x:c r="B180" s="34"/>
      <x:c r="C180" s="34"/>
      <x:c r="D180" s="78"/>
      <x:c r="E180" s="78"/>
      <x:c r="F180" s="80"/>
      <x:c r="G180" s="80"/>
      <x:c r="H180" s="80"/>
      <x:c r="I180" s="80"/>
      <x:c r="J180" s="80"/>
      <x:c r="K180" s="196" t="str">
        <x:f>IF(COUNTA(F180:J180)=0,"",F180*'01_CONFIG'!$B$6+G180*'01_CONFIG'!$B$7+H180*'01_CONFIG'!$B$8+I180*'01_CONFIG'!$B$9+J180*'01_CONFIG'!$B$10)</x:f>
      </x:c>
      <x:c r="L180" s="34"/>
      <x:c r="M180" s="34"/>
      <x:c r="N180" s="172"/>
      <x:c r="O180" s="34"/>
      <x:c r="P180" s="35"/>
    </x:row>
    <x:row r="181">
      <x:c r="A181" s="34"/>
      <x:c r="B181" s="34"/>
      <x:c r="C181" s="34"/>
      <x:c r="D181" s="78"/>
      <x:c r="E181" s="78"/>
      <x:c r="F181" s="80"/>
      <x:c r="G181" s="80"/>
      <x:c r="H181" s="80"/>
      <x:c r="I181" s="80"/>
      <x:c r="J181" s="80"/>
      <x:c r="K181" s="196" t="str">
        <x:f>IF(COUNTA(F181:J181)=0,"",F181*'01_CONFIG'!$B$6+G181*'01_CONFIG'!$B$7+H181*'01_CONFIG'!$B$8+I181*'01_CONFIG'!$B$9+J181*'01_CONFIG'!$B$10)</x:f>
      </x:c>
      <x:c r="L181" s="34"/>
      <x:c r="M181" s="34"/>
      <x:c r="N181" s="172"/>
      <x:c r="O181" s="34"/>
      <x:c r="P181" s="35"/>
    </x:row>
    <x:row r="182">
      <x:c r="A182" s="34"/>
      <x:c r="B182" s="34"/>
      <x:c r="C182" s="34"/>
      <x:c r="D182" s="78"/>
      <x:c r="E182" s="78"/>
      <x:c r="F182" s="80"/>
      <x:c r="G182" s="80"/>
      <x:c r="H182" s="80"/>
      <x:c r="I182" s="80"/>
      <x:c r="J182" s="80"/>
      <x:c r="K182" s="196" t="str">
        <x:f>IF(COUNTA(F182:J182)=0,"",F182*'01_CONFIG'!$B$6+G182*'01_CONFIG'!$B$7+H182*'01_CONFIG'!$B$8+I182*'01_CONFIG'!$B$9+J182*'01_CONFIG'!$B$10)</x:f>
      </x:c>
      <x:c r="L182" s="34"/>
      <x:c r="M182" s="34"/>
      <x:c r="N182" s="172"/>
      <x:c r="O182" s="34"/>
      <x:c r="P182" s="35"/>
    </x:row>
    <x:row r="183">
      <x:c r="A183" s="34"/>
      <x:c r="B183" s="34"/>
      <x:c r="C183" s="34"/>
      <x:c r="D183" s="78"/>
      <x:c r="E183" s="78"/>
      <x:c r="F183" s="80"/>
      <x:c r="G183" s="80"/>
      <x:c r="H183" s="80"/>
      <x:c r="I183" s="80"/>
      <x:c r="J183" s="80"/>
      <x:c r="K183" s="196" t="str">
        <x:f>IF(COUNTA(F183:J183)=0,"",F183*'01_CONFIG'!$B$6+G183*'01_CONFIG'!$B$7+H183*'01_CONFIG'!$B$8+I183*'01_CONFIG'!$B$9+J183*'01_CONFIG'!$B$10)</x:f>
      </x:c>
      <x:c r="L183" s="34"/>
      <x:c r="M183" s="34"/>
      <x:c r="N183" s="172"/>
      <x:c r="O183" s="34"/>
      <x:c r="P183" s="35"/>
    </x:row>
    <x:row r="184">
      <x:c r="A184" s="34"/>
      <x:c r="B184" s="34"/>
      <x:c r="C184" s="34"/>
      <x:c r="D184" s="78"/>
      <x:c r="E184" s="78"/>
      <x:c r="F184" s="80"/>
      <x:c r="G184" s="80"/>
      <x:c r="H184" s="80"/>
      <x:c r="I184" s="80"/>
      <x:c r="J184" s="80"/>
      <x:c r="K184" s="196" t="str">
        <x:f>IF(COUNTA(F184:J184)=0,"",F184*'01_CONFIG'!$B$6+G184*'01_CONFIG'!$B$7+H184*'01_CONFIG'!$B$8+I184*'01_CONFIG'!$B$9+J184*'01_CONFIG'!$B$10)</x:f>
      </x:c>
      <x:c r="L184" s="34"/>
      <x:c r="M184" s="34"/>
      <x:c r="N184" s="172"/>
      <x:c r="O184" s="34"/>
      <x:c r="P184" s="35"/>
    </x:row>
    <x:row r="185">
      <x:c r="A185" s="34"/>
      <x:c r="B185" s="34"/>
      <x:c r="C185" s="34"/>
      <x:c r="D185" s="78"/>
      <x:c r="E185" s="78"/>
      <x:c r="F185" s="80"/>
      <x:c r="G185" s="80"/>
      <x:c r="H185" s="80"/>
      <x:c r="I185" s="80"/>
      <x:c r="J185" s="80"/>
      <x:c r="K185" s="196" t="str">
        <x:f>IF(COUNTA(F185:J185)=0,"",F185*'01_CONFIG'!$B$6+G185*'01_CONFIG'!$B$7+H185*'01_CONFIG'!$B$8+I185*'01_CONFIG'!$B$9+J185*'01_CONFIG'!$B$10)</x:f>
      </x:c>
      <x:c r="L185" s="34"/>
      <x:c r="M185" s="34"/>
      <x:c r="N185" s="172"/>
      <x:c r="O185" s="34"/>
      <x:c r="P185" s="35"/>
    </x:row>
    <x:row r="186">
      <x:c r="A186" s="34"/>
      <x:c r="B186" s="34"/>
      <x:c r="C186" s="34"/>
      <x:c r="D186" s="78"/>
      <x:c r="E186" s="78"/>
      <x:c r="F186" s="80"/>
      <x:c r="G186" s="80"/>
      <x:c r="H186" s="80"/>
      <x:c r="I186" s="80"/>
      <x:c r="J186" s="80"/>
      <x:c r="K186" s="196" t="str">
        <x:f>IF(COUNTA(F186:J186)=0,"",F186*'01_CONFIG'!$B$6+G186*'01_CONFIG'!$B$7+H186*'01_CONFIG'!$B$8+I186*'01_CONFIG'!$B$9+J186*'01_CONFIG'!$B$10)</x:f>
      </x:c>
      <x:c r="L186" s="34"/>
      <x:c r="M186" s="34"/>
      <x:c r="N186" s="172"/>
      <x:c r="O186" s="34"/>
      <x:c r="P186" s="35"/>
    </x:row>
    <x:row r="187">
      <x:c r="A187" s="34"/>
      <x:c r="B187" s="34"/>
      <x:c r="C187" s="34"/>
      <x:c r="D187" s="78"/>
      <x:c r="E187" s="78"/>
      <x:c r="F187" s="80"/>
      <x:c r="G187" s="80"/>
      <x:c r="H187" s="80"/>
      <x:c r="I187" s="80"/>
      <x:c r="J187" s="80"/>
      <x:c r="K187" s="196" t="str">
        <x:f>IF(COUNTA(F187:J187)=0,"",F187*'01_CONFIG'!$B$6+G187*'01_CONFIG'!$B$7+H187*'01_CONFIG'!$B$8+I187*'01_CONFIG'!$B$9+J187*'01_CONFIG'!$B$10)</x:f>
      </x:c>
      <x:c r="L187" s="34"/>
      <x:c r="M187" s="34"/>
      <x:c r="N187" s="172"/>
      <x:c r="O187" s="34"/>
      <x:c r="P187" s="35"/>
    </x:row>
    <x:row r="188">
      <x:c r="A188" s="34"/>
      <x:c r="B188" s="34"/>
      <x:c r="C188" s="34"/>
      <x:c r="D188" s="78"/>
      <x:c r="E188" s="78"/>
      <x:c r="F188" s="80"/>
      <x:c r="G188" s="80"/>
      <x:c r="H188" s="80"/>
      <x:c r="I188" s="80"/>
      <x:c r="J188" s="80"/>
      <x:c r="K188" s="196" t="str">
        <x:f>IF(COUNTA(F188:J188)=0,"",F188*'01_CONFIG'!$B$6+G188*'01_CONFIG'!$B$7+H188*'01_CONFIG'!$B$8+I188*'01_CONFIG'!$B$9+J188*'01_CONFIG'!$B$10)</x:f>
      </x:c>
      <x:c r="L188" s="34"/>
      <x:c r="M188" s="34"/>
      <x:c r="N188" s="172"/>
      <x:c r="O188" s="34"/>
      <x:c r="P188" s="35"/>
    </x:row>
    <x:row r="189">
      <x:c r="A189" s="34"/>
      <x:c r="B189" s="34"/>
      <x:c r="C189" s="34"/>
      <x:c r="D189" s="78"/>
      <x:c r="E189" s="78"/>
      <x:c r="F189" s="80"/>
      <x:c r="G189" s="80"/>
      <x:c r="H189" s="80"/>
      <x:c r="I189" s="80"/>
      <x:c r="J189" s="80"/>
      <x:c r="K189" s="196" t="str">
        <x:f>IF(COUNTA(F189:J189)=0,"",F189*'01_CONFIG'!$B$6+G189*'01_CONFIG'!$B$7+H189*'01_CONFIG'!$B$8+I189*'01_CONFIG'!$B$9+J189*'01_CONFIG'!$B$10)</x:f>
      </x:c>
      <x:c r="L189" s="34"/>
      <x:c r="M189" s="34"/>
      <x:c r="N189" s="172"/>
      <x:c r="O189" s="34"/>
      <x:c r="P189" s="35"/>
    </x:row>
    <x:row r="190">
      <x:c r="A190" s="34"/>
      <x:c r="B190" s="34"/>
      <x:c r="C190" s="34"/>
      <x:c r="D190" s="78"/>
      <x:c r="E190" s="78"/>
      <x:c r="F190" s="80"/>
      <x:c r="G190" s="80"/>
      <x:c r="H190" s="80"/>
      <x:c r="I190" s="80"/>
      <x:c r="J190" s="80"/>
      <x:c r="K190" s="196" t="str">
        <x:f>IF(COUNTA(F190:J190)=0,"",F190*'01_CONFIG'!$B$6+G190*'01_CONFIG'!$B$7+H190*'01_CONFIG'!$B$8+I190*'01_CONFIG'!$B$9+J190*'01_CONFIG'!$B$10)</x:f>
      </x:c>
      <x:c r="L190" s="34"/>
      <x:c r="M190" s="34"/>
      <x:c r="N190" s="172"/>
      <x:c r="O190" s="34"/>
      <x:c r="P190" s="35"/>
    </x:row>
    <x:row r="191">
      <x:c r="A191" s="34"/>
      <x:c r="B191" s="34"/>
      <x:c r="C191" s="34"/>
      <x:c r="D191" s="78"/>
      <x:c r="E191" s="78"/>
      <x:c r="F191" s="80"/>
      <x:c r="G191" s="80"/>
      <x:c r="H191" s="80"/>
      <x:c r="I191" s="80"/>
      <x:c r="J191" s="80"/>
      <x:c r="K191" s="196" t="str">
        <x:f>IF(COUNTA(F191:J191)=0,"",F191*'01_CONFIG'!$B$6+G191*'01_CONFIG'!$B$7+H191*'01_CONFIG'!$B$8+I191*'01_CONFIG'!$B$9+J191*'01_CONFIG'!$B$10)</x:f>
      </x:c>
      <x:c r="L191" s="34"/>
      <x:c r="M191" s="34"/>
      <x:c r="N191" s="172"/>
      <x:c r="O191" s="34"/>
      <x:c r="P191" s="35"/>
    </x:row>
    <x:row r="192">
      <x:c r="A192" s="34"/>
      <x:c r="B192" s="34"/>
      <x:c r="C192" s="34"/>
      <x:c r="D192" s="78"/>
      <x:c r="E192" s="78"/>
      <x:c r="F192" s="80"/>
      <x:c r="G192" s="80"/>
      <x:c r="H192" s="80"/>
      <x:c r="I192" s="80"/>
      <x:c r="J192" s="80"/>
      <x:c r="K192" s="196" t="str">
        <x:f>IF(COUNTA(F192:J192)=0,"",F192*'01_CONFIG'!$B$6+G192*'01_CONFIG'!$B$7+H192*'01_CONFIG'!$B$8+I192*'01_CONFIG'!$B$9+J192*'01_CONFIG'!$B$10)</x:f>
      </x:c>
      <x:c r="L192" s="34"/>
      <x:c r="M192" s="34"/>
      <x:c r="N192" s="172"/>
      <x:c r="O192" s="34"/>
      <x:c r="P192" s="35"/>
    </x:row>
    <x:row r="193">
      <x:c r="A193" s="34"/>
      <x:c r="B193" s="34"/>
      <x:c r="C193" s="34"/>
      <x:c r="D193" s="78"/>
      <x:c r="E193" s="78"/>
      <x:c r="F193" s="80"/>
      <x:c r="G193" s="80"/>
      <x:c r="H193" s="80"/>
      <x:c r="I193" s="80"/>
      <x:c r="J193" s="80"/>
      <x:c r="K193" s="196" t="str">
        <x:f>IF(COUNTA(F193:J193)=0,"",F193*'01_CONFIG'!$B$6+G193*'01_CONFIG'!$B$7+H193*'01_CONFIG'!$B$8+I193*'01_CONFIG'!$B$9+J193*'01_CONFIG'!$B$10)</x:f>
      </x:c>
      <x:c r="L193" s="34"/>
      <x:c r="M193" s="34"/>
      <x:c r="N193" s="172"/>
      <x:c r="O193" s="34"/>
      <x:c r="P193" s="35"/>
    </x:row>
    <x:row r="194">
      <x:c r="A194" s="34"/>
      <x:c r="B194" s="34"/>
      <x:c r="C194" s="34"/>
      <x:c r="D194" s="78"/>
      <x:c r="E194" s="78"/>
      <x:c r="F194" s="80"/>
      <x:c r="G194" s="80"/>
      <x:c r="H194" s="80"/>
      <x:c r="I194" s="80"/>
      <x:c r="J194" s="80"/>
      <x:c r="K194" s="196" t="str">
        <x:f>IF(COUNTA(F194:J194)=0,"",F194*'01_CONFIG'!$B$6+G194*'01_CONFIG'!$B$7+H194*'01_CONFIG'!$B$8+I194*'01_CONFIG'!$B$9+J194*'01_CONFIG'!$B$10)</x:f>
      </x:c>
      <x:c r="L194" s="34"/>
      <x:c r="M194" s="34"/>
      <x:c r="N194" s="172"/>
      <x:c r="O194" s="34"/>
      <x:c r="P194" s="35"/>
    </x:row>
    <x:row r="195">
      <x:c r="A195" s="34"/>
      <x:c r="B195" s="34"/>
      <x:c r="C195" s="34"/>
      <x:c r="D195" s="78"/>
      <x:c r="E195" s="78"/>
      <x:c r="F195" s="80"/>
      <x:c r="G195" s="80"/>
      <x:c r="H195" s="80"/>
      <x:c r="I195" s="80"/>
      <x:c r="J195" s="80"/>
      <x:c r="K195" s="196" t="str">
        <x:f>IF(COUNTA(F195:J195)=0,"",F195*'01_CONFIG'!$B$6+G195*'01_CONFIG'!$B$7+H195*'01_CONFIG'!$B$8+I195*'01_CONFIG'!$B$9+J195*'01_CONFIG'!$B$10)</x:f>
      </x:c>
      <x:c r="L195" s="34"/>
      <x:c r="M195" s="34"/>
      <x:c r="N195" s="172"/>
      <x:c r="O195" s="34"/>
      <x:c r="P195" s="35"/>
    </x:row>
    <x:row r="196">
      <x:c r="A196" s="34"/>
      <x:c r="B196" s="34"/>
      <x:c r="C196" s="34"/>
      <x:c r="D196" s="78"/>
      <x:c r="E196" s="78"/>
      <x:c r="F196" s="80"/>
      <x:c r="G196" s="80"/>
      <x:c r="H196" s="80"/>
      <x:c r="I196" s="80"/>
      <x:c r="J196" s="80"/>
      <x:c r="K196" s="196" t="str">
        <x:f>IF(COUNTA(F196:J196)=0,"",F196*'01_CONFIG'!$B$6+G196*'01_CONFIG'!$B$7+H196*'01_CONFIG'!$B$8+I196*'01_CONFIG'!$B$9+J196*'01_CONFIG'!$B$10)</x:f>
      </x:c>
      <x:c r="L196" s="34"/>
      <x:c r="M196" s="34"/>
      <x:c r="N196" s="172"/>
      <x:c r="O196" s="34"/>
      <x:c r="P196" s="35"/>
    </x:row>
    <x:row r="197">
      <x:c r="A197" s="34"/>
      <x:c r="B197" s="34"/>
      <x:c r="C197" s="34"/>
      <x:c r="D197" s="78"/>
      <x:c r="E197" s="78"/>
      <x:c r="F197" s="80"/>
      <x:c r="G197" s="80"/>
      <x:c r="H197" s="80"/>
      <x:c r="I197" s="80"/>
      <x:c r="J197" s="80"/>
      <x:c r="K197" s="196" t="str">
        <x:f>IF(COUNTA(F197:J197)=0,"",F197*'01_CONFIG'!$B$6+G197*'01_CONFIG'!$B$7+H197*'01_CONFIG'!$B$8+I197*'01_CONFIG'!$B$9+J197*'01_CONFIG'!$B$10)</x:f>
      </x:c>
      <x:c r="L197" s="34"/>
      <x:c r="M197" s="34"/>
      <x:c r="N197" s="172"/>
      <x:c r="O197" s="34"/>
      <x:c r="P197" s="35"/>
    </x:row>
    <x:row r="198">
      <x:c r="A198" s="34"/>
      <x:c r="B198" s="34"/>
      <x:c r="C198" s="34"/>
      <x:c r="D198" s="78"/>
      <x:c r="E198" s="78"/>
      <x:c r="F198" s="80"/>
      <x:c r="G198" s="80"/>
      <x:c r="H198" s="80"/>
      <x:c r="I198" s="80"/>
      <x:c r="J198" s="80"/>
      <x:c r="K198" s="196" t="str">
        <x:f>IF(COUNTA(F198:J198)=0,"",F198*'01_CONFIG'!$B$6+G198*'01_CONFIG'!$B$7+H198*'01_CONFIG'!$B$8+I198*'01_CONFIG'!$B$9+J198*'01_CONFIG'!$B$10)</x:f>
      </x:c>
      <x:c r="L198" s="34"/>
      <x:c r="M198" s="34"/>
      <x:c r="N198" s="172"/>
      <x:c r="O198" s="34"/>
      <x:c r="P198" s="35"/>
    </x:row>
    <x:row r="199">
      <x:c r="A199" s="34"/>
      <x:c r="B199" s="34"/>
      <x:c r="C199" s="34"/>
      <x:c r="D199" s="78"/>
      <x:c r="E199" s="78"/>
      <x:c r="F199" s="80"/>
      <x:c r="G199" s="80"/>
      <x:c r="H199" s="80"/>
      <x:c r="I199" s="80"/>
      <x:c r="J199" s="80"/>
      <x:c r="K199" s="196" t="str">
        <x:f>IF(COUNTA(F199:J199)=0,"",F199*'01_CONFIG'!$B$6+G199*'01_CONFIG'!$B$7+H199*'01_CONFIG'!$B$8+I199*'01_CONFIG'!$B$9+J199*'01_CONFIG'!$B$10)</x:f>
      </x:c>
      <x:c r="L199" s="34"/>
      <x:c r="M199" s="34"/>
      <x:c r="N199" s="172"/>
      <x:c r="O199" s="34"/>
      <x:c r="P199" s="35"/>
    </x:row>
    <x:row r="200">
      <x:c r="A200" s="34"/>
      <x:c r="B200" s="34"/>
      <x:c r="C200" s="34"/>
      <x:c r="D200" s="78"/>
      <x:c r="E200" s="78"/>
      <x:c r="F200" s="80"/>
      <x:c r="G200" s="80"/>
      <x:c r="H200" s="80"/>
      <x:c r="I200" s="80"/>
      <x:c r="J200" s="80"/>
      <x:c r="K200" s="196" t="str">
        <x:f>IF(COUNTA(F200:J200)=0,"",F200*'01_CONFIG'!$B$6+G200*'01_CONFIG'!$B$7+H200*'01_CONFIG'!$B$8+I200*'01_CONFIG'!$B$9+J200*'01_CONFIG'!$B$10)</x:f>
      </x:c>
      <x:c r="L200" s="34"/>
      <x:c r="M200" s="34"/>
      <x:c r="N200" s="172"/>
      <x:c r="O200" s="34"/>
      <x:c r="P200" s="35"/>
    </x:row>
    <x:row r="201">
      <x:c r="A201" s="34"/>
      <x:c r="B201" s="34"/>
      <x:c r="C201" s="34"/>
      <x:c r="D201" s="78"/>
      <x:c r="E201" s="78"/>
      <x:c r="F201" s="80"/>
      <x:c r="G201" s="80"/>
      <x:c r="H201" s="80"/>
      <x:c r="I201" s="80"/>
      <x:c r="J201" s="80"/>
      <x:c r="K201" s="196" t="str">
        <x:f>IF(COUNTA(F201:J201)=0,"",F201*'01_CONFIG'!$B$6+G201*'01_CONFIG'!$B$7+H201*'01_CONFIG'!$B$8+I201*'01_CONFIG'!$B$9+J201*'01_CONFIG'!$B$10)</x:f>
      </x:c>
      <x:c r="L201" s="34"/>
      <x:c r="M201" s="34"/>
      <x:c r="N201" s="172"/>
      <x:c r="O201" s="34"/>
      <x:c r="P201" s="35"/>
    </x:row>
    <x:row r="202">
      <x:c r="A202" s="34"/>
      <x:c r="B202" s="34"/>
      <x:c r="C202" s="34"/>
      <x:c r="D202" s="78"/>
      <x:c r="E202" s="78"/>
      <x:c r="F202" s="80"/>
      <x:c r="G202" s="80"/>
      <x:c r="H202" s="80"/>
      <x:c r="I202" s="80"/>
      <x:c r="J202" s="80"/>
      <x:c r="K202" s="196" t="str">
        <x:f>IF(COUNTA(F202:J202)=0,"",F202*'01_CONFIG'!$B$6+G202*'01_CONFIG'!$B$7+H202*'01_CONFIG'!$B$8+I202*'01_CONFIG'!$B$9+J202*'01_CONFIG'!$B$10)</x:f>
      </x:c>
      <x:c r="L202" s="34"/>
      <x:c r="M202" s="34"/>
      <x:c r="N202" s="172"/>
      <x:c r="O202" s="34"/>
      <x:c r="P202" s="35"/>
    </x:row>
    <x:row r="203">
      <x:c r="A203" s="34"/>
      <x:c r="B203" s="34"/>
      <x:c r="C203" s="34"/>
      <x:c r="D203" s="78"/>
      <x:c r="E203" s="78"/>
      <x:c r="F203" s="80"/>
      <x:c r="G203" s="80"/>
      <x:c r="H203" s="80"/>
      <x:c r="I203" s="80"/>
      <x:c r="J203" s="80"/>
      <x:c r="K203" s="196" t="str">
        <x:f>IF(COUNTA(F203:J203)=0,"",F203*'01_CONFIG'!$B$6+G203*'01_CONFIG'!$B$7+H203*'01_CONFIG'!$B$8+I203*'01_CONFIG'!$B$9+J203*'01_CONFIG'!$B$10)</x:f>
      </x:c>
      <x:c r="L203" s="34"/>
      <x:c r="M203" s="34"/>
      <x:c r="N203" s="172"/>
      <x:c r="O203" s="34"/>
      <x:c r="P203" s="35"/>
    </x:row>
    <x:row r="204">
      <x:c r="A204" s="36"/>
      <x:c r="B204" s="36"/>
      <x:c r="C204" s="36"/>
      <x:c r="D204" s="82"/>
      <x:c r="E204" s="82"/>
      <x:c r="F204" s="84"/>
      <x:c r="G204" s="84"/>
      <x:c r="H204" s="84"/>
      <x:c r="I204" s="84"/>
      <x:c r="J204" s="84"/>
      <x:c r="K204" s="197" t="str">
        <x:f>IF(COUNTA(F204:J204)=0,"",F204*'01_CONFIG'!$B$6+G204*'01_CONFIG'!$B$7+H204*'01_CONFIG'!$B$8+I204*'01_CONFIG'!$B$9+J204*'01_CONFIG'!$B$10)</x:f>
      </x:c>
      <x:c r="L204" s="36"/>
      <x:c r="M204" s="36"/>
      <x:c r="N204" s="173"/>
      <x:c r="O204" s="36"/>
      <x:c r="P204" s="37"/>
    </x:row>
  </x:sheetData>
  <x:mergeCells>
    <x:mergeCell ref="A1:P1"/>
    <x:mergeCell ref="A2:P2"/>
  </x:mergeCells>
  <x:dataValidations count="1">
    <x:dataValidation type="list" sqref="L5:L204">
      <x:formula1>"SI,NO,PENDIENTE"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14cf2e200a44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6" hidden="0" customWidth="1"/>
    <x:col min="6" max="6" width="24" hidden="0" customWidth="1"/>
    <x:col min="7" max="7" width="22" hidden="0" customWidth="1"/>
    <x:col min="8" max="8" width="16" hidden="0" customWidth="1"/>
    <x:col min="9" max="9" width="20" hidden="0" customWidth="1"/>
    <x:col min="10" max="10" width="18" hidden="0" customWidth="1"/>
    <x:col min="11" max="11" width="15" hidden="0" customWidth="1"/>
    <x:col min="12" max="12" width="16" hidden="0" customWidth="1"/>
    <x:col min="13" max="13" width="24" hidden="0" customWidth="1"/>
    <x:col min="14" max="14" width="22" hidden="0" customWidth="1"/>
    <x:col min="15" max="15" width="20" hidden="0" customWidth="1"/>
    <x:col min="16" max="16" width="42" hidden="0" customWidth="1"/>
  </x:cols>
  <x:sheetData>
    <x:row r="1" ht="30" customHeight="1">
      <x:c r="A1" s="4" t="str">
        <x:v>Crack Coins · Ledger auditable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1" t="str">
        <x:v>NO se define aquí una tasa PET→CC ni Racha→CC. Cada movimiento debe apuntar a su fuente y a la regla aprobada que lo calculó.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28" customHeight="1">
      <x:c r="A4" s="20" t="str">
        <x:v>tx_id</x:v>
      </x:c>
      <x:c r="B4" s="20" t="str">
        <x:v>fecha</x:v>
      </x:c>
      <x:c r="C4" s="20" t="str">
        <x:v>player_id</x:v>
      </x:c>
      <x:c r="D4" s="20" t="str">
        <x:v>club_id</x:v>
      </x:c>
      <x:c r="E4" s="20" t="str">
        <x:v>source_type</x:v>
      </x:c>
      <x:c r="F4" s="20" t="str">
        <x:v>source_id</x:v>
      </x:c>
      <x:c r="G4" s="20" t="str">
        <x:v>source_metric</x:v>
      </x:c>
      <x:c r="H4" s="20" t="str">
        <x:v>source_value</x:v>
      </x:c>
      <x:c r="I4" s="20" t="str">
        <x:v>rule_id</x:v>
      </x:c>
      <x:c r="J4" s="20" t="str">
        <x:v>rule_version</x:v>
      </x:c>
      <x:c r="K4" s="20" t="str">
        <x:v>coin_delta</x:v>
      </x:c>
      <x:c r="L4" s="20" t="str">
        <x:v>status</x:v>
      </x:c>
      <x:c r="M4" s="20" t="str">
        <x:v>reversal_of_tx_id</x:v>
      </x:c>
      <x:c r="N4" s="20" t="str">
        <x:v>correction_id</x:v>
      </x:c>
      <x:c r="O4" s="20" t="str">
        <x:v>created_by</x:v>
      </x:c>
      <x:c r="P4" s="20" t="str">
        <x:v>observaciones</x:v>
      </x:c>
    </x:row>
    <x:row r="5">
      <x:c r="A5" s="34"/>
      <x:c r="B5" s="172"/>
      <x:c r="C5" s="34"/>
      <x:c r="D5" s="34"/>
      <x:c r="E5" s="34"/>
      <x:c r="F5" s="34"/>
      <x:c r="G5" s="34"/>
      <x:c r="H5" s="81"/>
      <x:c r="I5" s="34"/>
      <x:c r="J5" s="34"/>
      <x:c r="K5" s="79"/>
      <x:c r="L5" s="34"/>
      <x:c r="M5" s="34"/>
      <x:c r="N5" s="34"/>
      <x:c r="O5" s="34"/>
      <x:c r="P5" s="35"/>
    </x:row>
    <x:row r="6">
      <x:c r="A6" s="34"/>
      <x:c r="B6" s="172"/>
      <x:c r="C6" s="34"/>
      <x:c r="D6" s="34"/>
      <x:c r="E6" s="34"/>
      <x:c r="F6" s="34"/>
      <x:c r="G6" s="34"/>
      <x:c r="H6" s="81"/>
      <x:c r="I6" s="34"/>
      <x:c r="J6" s="34"/>
      <x:c r="K6" s="79"/>
      <x:c r="L6" s="34"/>
      <x:c r="M6" s="34"/>
      <x:c r="N6" s="34"/>
      <x:c r="O6" s="34"/>
      <x:c r="P6" s="35"/>
    </x:row>
    <x:row r="7">
      <x:c r="A7" s="34"/>
      <x:c r="B7" s="172"/>
      <x:c r="C7" s="34"/>
      <x:c r="D7" s="34"/>
      <x:c r="E7" s="34"/>
      <x:c r="F7" s="34"/>
      <x:c r="G7" s="34"/>
      <x:c r="H7" s="81"/>
      <x:c r="I7" s="34"/>
      <x:c r="J7" s="34"/>
      <x:c r="K7" s="79"/>
      <x:c r="L7" s="34"/>
      <x:c r="M7" s="34"/>
      <x:c r="N7" s="34"/>
      <x:c r="O7" s="34"/>
      <x:c r="P7" s="35"/>
    </x:row>
    <x:row r="8">
      <x:c r="A8" s="34"/>
      <x:c r="B8" s="172"/>
      <x:c r="C8" s="34"/>
      <x:c r="D8" s="34"/>
      <x:c r="E8" s="34"/>
      <x:c r="F8" s="34"/>
      <x:c r="G8" s="34"/>
      <x:c r="H8" s="81"/>
      <x:c r="I8" s="34"/>
      <x:c r="J8" s="34"/>
      <x:c r="K8" s="79"/>
      <x:c r="L8" s="34"/>
      <x:c r="M8" s="34"/>
      <x:c r="N8" s="34"/>
      <x:c r="O8" s="34"/>
      <x:c r="P8" s="35"/>
    </x:row>
    <x:row r="9">
      <x:c r="A9" s="34"/>
      <x:c r="B9" s="172"/>
      <x:c r="C9" s="34"/>
      <x:c r="D9" s="34"/>
      <x:c r="E9" s="34"/>
      <x:c r="F9" s="34"/>
      <x:c r="G9" s="34"/>
      <x:c r="H9" s="81"/>
      <x:c r="I9" s="34"/>
      <x:c r="J9" s="34"/>
      <x:c r="K9" s="79"/>
      <x:c r="L9" s="34"/>
      <x:c r="M9" s="34"/>
      <x:c r="N9" s="34"/>
      <x:c r="O9" s="34"/>
      <x:c r="P9" s="35"/>
    </x:row>
    <x:row r="10">
      <x:c r="A10" s="34"/>
      <x:c r="B10" s="172"/>
      <x:c r="C10" s="34"/>
      <x:c r="D10" s="34"/>
      <x:c r="E10" s="34"/>
      <x:c r="F10" s="34"/>
      <x:c r="G10" s="34"/>
      <x:c r="H10" s="81"/>
      <x:c r="I10" s="34"/>
      <x:c r="J10" s="34"/>
      <x:c r="K10" s="79"/>
      <x:c r="L10" s="34"/>
      <x:c r="M10" s="34"/>
      <x:c r="N10" s="34"/>
      <x:c r="O10" s="34"/>
      <x:c r="P10" s="35"/>
    </x:row>
    <x:row r="11">
      <x:c r="A11" s="34"/>
      <x:c r="B11" s="172"/>
      <x:c r="C11" s="34"/>
      <x:c r="D11" s="34"/>
      <x:c r="E11" s="34"/>
      <x:c r="F11" s="34"/>
      <x:c r="G11" s="34"/>
      <x:c r="H11" s="81"/>
      <x:c r="I11" s="34"/>
      <x:c r="J11" s="34"/>
      <x:c r="K11" s="79"/>
      <x:c r="L11" s="34"/>
      <x:c r="M11" s="34"/>
      <x:c r="N11" s="34"/>
      <x:c r="O11" s="34"/>
      <x:c r="P11" s="35"/>
    </x:row>
    <x:row r="12">
      <x:c r="A12" s="34"/>
      <x:c r="B12" s="172"/>
      <x:c r="C12" s="34"/>
      <x:c r="D12" s="34"/>
      <x:c r="E12" s="34"/>
      <x:c r="F12" s="34"/>
      <x:c r="G12" s="34"/>
      <x:c r="H12" s="81"/>
      <x:c r="I12" s="34"/>
      <x:c r="J12" s="34"/>
      <x:c r="K12" s="79"/>
      <x:c r="L12" s="34"/>
      <x:c r="M12" s="34"/>
      <x:c r="N12" s="34"/>
      <x:c r="O12" s="34"/>
      <x:c r="P12" s="35"/>
    </x:row>
    <x:row r="13">
      <x:c r="A13" s="34"/>
      <x:c r="B13" s="172"/>
      <x:c r="C13" s="34"/>
      <x:c r="D13" s="34"/>
      <x:c r="E13" s="34"/>
      <x:c r="F13" s="34"/>
      <x:c r="G13" s="34"/>
      <x:c r="H13" s="81"/>
      <x:c r="I13" s="34"/>
      <x:c r="J13" s="34"/>
      <x:c r="K13" s="79"/>
      <x:c r="L13" s="34"/>
      <x:c r="M13" s="34"/>
      <x:c r="N13" s="34"/>
      <x:c r="O13" s="34"/>
      <x:c r="P13" s="35"/>
    </x:row>
    <x:row r="14">
      <x:c r="A14" s="34"/>
      <x:c r="B14" s="172"/>
      <x:c r="C14" s="34"/>
      <x:c r="D14" s="34"/>
      <x:c r="E14" s="34"/>
      <x:c r="F14" s="34"/>
      <x:c r="G14" s="34"/>
      <x:c r="H14" s="81"/>
      <x:c r="I14" s="34"/>
      <x:c r="J14" s="34"/>
      <x:c r="K14" s="79"/>
      <x:c r="L14" s="34"/>
      <x:c r="M14" s="34"/>
      <x:c r="N14" s="34"/>
      <x:c r="O14" s="34"/>
      <x:c r="P14" s="35"/>
    </x:row>
    <x:row r="15">
      <x:c r="A15" s="34"/>
      <x:c r="B15" s="172"/>
      <x:c r="C15" s="34"/>
      <x:c r="D15" s="34"/>
      <x:c r="E15" s="34"/>
      <x:c r="F15" s="34"/>
      <x:c r="G15" s="34"/>
      <x:c r="H15" s="81"/>
      <x:c r="I15" s="34"/>
      <x:c r="J15" s="34"/>
      <x:c r="K15" s="79"/>
      <x:c r="L15" s="34"/>
      <x:c r="M15" s="34"/>
      <x:c r="N15" s="34"/>
      <x:c r="O15" s="34"/>
      <x:c r="P15" s="35"/>
    </x:row>
    <x:row r="16">
      <x:c r="A16" s="34"/>
      <x:c r="B16" s="172"/>
      <x:c r="C16" s="34"/>
      <x:c r="D16" s="34"/>
      <x:c r="E16" s="34"/>
      <x:c r="F16" s="34"/>
      <x:c r="G16" s="34"/>
      <x:c r="H16" s="81"/>
      <x:c r="I16" s="34"/>
      <x:c r="J16" s="34"/>
      <x:c r="K16" s="79"/>
      <x:c r="L16" s="34"/>
      <x:c r="M16" s="34"/>
      <x:c r="N16" s="34"/>
      <x:c r="O16" s="34"/>
      <x:c r="P16" s="35"/>
    </x:row>
    <x:row r="17">
      <x:c r="A17" s="34"/>
      <x:c r="B17" s="172"/>
      <x:c r="C17" s="34"/>
      <x:c r="D17" s="34"/>
      <x:c r="E17" s="34"/>
      <x:c r="F17" s="34"/>
      <x:c r="G17" s="34"/>
      <x:c r="H17" s="81"/>
      <x:c r="I17" s="34"/>
      <x:c r="J17" s="34"/>
      <x:c r="K17" s="79"/>
      <x:c r="L17" s="34"/>
      <x:c r="M17" s="34"/>
      <x:c r="N17" s="34"/>
      <x:c r="O17" s="34"/>
      <x:c r="P17" s="35"/>
    </x:row>
    <x:row r="18">
      <x:c r="A18" s="34"/>
      <x:c r="B18" s="172"/>
      <x:c r="C18" s="34"/>
      <x:c r="D18" s="34"/>
      <x:c r="E18" s="34"/>
      <x:c r="F18" s="34"/>
      <x:c r="G18" s="34"/>
      <x:c r="H18" s="81"/>
      <x:c r="I18" s="34"/>
      <x:c r="J18" s="34"/>
      <x:c r="K18" s="79"/>
      <x:c r="L18" s="34"/>
      <x:c r="M18" s="34"/>
      <x:c r="N18" s="34"/>
      <x:c r="O18" s="34"/>
      <x:c r="P18" s="35"/>
    </x:row>
    <x:row r="19">
      <x:c r="A19" s="34"/>
      <x:c r="B19" s="172"/>
      <x:c r="C19" s="34"/>
      <x:c r="D19" s="34"/>
      <x:c r="E19" s="34"/>
      <x:c r="F19" s="34"/>
      <x:c r="G19" s="34"/>
      <x:c r="H19" s="81"/>
      <x:c r="I19" s="34"/>
      <x:c r="J19" s="34"/>
      <x:c r="K19" s="79"/>
      <x:c r="L19" s="34"/>
      <x:c r="M19" s="34"/>
      <x:c r="N19" s="34"/>
      <x:c r="O19" s="34"/>
      <x:c r="P19" s="35"/>
    </x:row>
    <x:row r="20">
      <x:c r="A20" s="34"/>
      <x:c r="B20" s="172"/>
      <x:c r="C20" s="34"/>
      <x:c r="D20" s="34"/>
      <x:c r="E20" s="34"/>
      <x:c r="F20" s="34"/>
      <x:c r="G20" s="34"/>
      <x:c r="H20" s="81"/>
      <x:c r="I20" s="34"/>
      <x:c r="J20" s="34"/>
      <x:c r="K20" s="79"/>
      <x:c r="L20" s="34"/>
      <x:c r="M20" s="34"/>
      <x:c r="N20" s="34"/>
      <x:c r="O20" s="34"/>
      <x:c r="P20" s="35"/>
    </x:row>
    <x:row r="21">
      <x:c r="A21" s="34"/>
      <x:c r="B21" s="172"/>
      <x:c r="C21" s="34"/>
      <x:c r="D21" s="34"/>
      <x:c r="E21" s="34"/>
      <x:c r="F21" s="34"/>
      <x:c r="G21" s="34"/>
      <x:c r="H21" s="81"/>
      <x:c r="I21" s="34"/>
      <x:c r="J21" s="34"/>
      <x:c r="K21" s="79"/>
      <x:c r="L21" s="34"/>
      <x:c r="M21" s="34"/>
      <x:c r="N21" s="34"/>
      <x:c r="O21" s="34"/>
      <x:c r="P21" s="35"/>
    </x:row>
    <x:row r="22">
      <x:c r="A22" s="34"/>
      <x:c r="B22" s="172"/>
      <x:c r="C22" s="34"/>
      <x:c r="D22" s="34"/>
      <x:c r="E22" s="34"/>
      <x:c r="F22" s="34"/>
      <x:c r="G22" s="34"/>
      <x:c r="H22" s="81"/>
      <x:c r="I22" s="34"/>
      <x:c r="J22" s="34"/>
      <x:c r="K22" s="79"/>
      <x:c r="L22" s="34"/>
      <x:c r="M22" s="34"/>
      <x:c r="N22" s="34"/>
      <x:c r="O22" s="34"/>
      <x:c r="P22" s="35"/>
    </x:row>
    <x:row r="23">
      <x:c r="A23" s="34"/>
      <x:c r="B23" s="172"/>
      <x:c r="C23" s="34"/>
      <x:c r="D23" s="34"/>
      <x:c r="E23" s="34"/>
      <x:c r="F23" s="34"/>
      <x:c r="G23" s="34"/>
      <x:c r="H23" s="81"/>
      <x:c r="I23" s="34"/>
      <x:c r="J23" s="34"/>
      <x:c r="K23" s="79"/>
      <x:c r="L23" s="34"/>
      <x:c r="M23" s="34"/>
      <x:c r="N23" s="34"/>
      <x:c r="O23" s="34"/>
      <x:c r="P23" s="35"/>
    </x:row>
    <x:row r="24">
      <x:c r="A24" s="34"/>
      <x:c r="B24" s="172"/>
      <x:c r="C24" s="34"/>
      <x:c r="D24" s="34"/>
      <x:c r="E24" s="34"/>
      <x:c r="F24" s="34"/>
      <x:c r="G24" s="34"/>
      <x:c r="H24" s="81"/>
      <x:c r="I24" s="34"/>
      <x:c r="J24" s="34"/>
      <x:c r="K24" s="79"/>
      <x:c r="L24" s="34"/>
      <x:c r="M24" s="34"/>
      <x:c r="N24" s="34"/>
      <x:c r="O24" s="34"/>
      <x:c r="P24" s="35"/>
    </x:row>
    <x:row r="25">
      <x:c r="A25" s="34"/>
      <x:c r="B25" s="172"/>
      <x:c r="C25" s="34"/>
      <x:c r="D25" s="34"/>
      <x:c r="E25" s="34"/>
      <x:c r="F25" s="34"/>
      <x:c r="G25" s="34"/>
      <x:c r="H25" s="81"/>
      <x:c r="I25" s="34"/>
      <x:c r="J25" s="34"/>
      <x:c r="K25" s="79"/>
      <x:c r="L25" s="34"/>
      <x:c r="M25" s="34"/>
      <x:c r="N25" s="34"/>
      <x:c r="O25" s="34"/>
      <x:c r="P25" s="35"/>
    </x:row>
    <x:row r="26">
      <x:c r="A26" s="34"/>
      <x:c r="B26" s="172"/>
      <x:c r="C26" s="34"/>
      <x:c r="D26" s="34"/>
      <x:c r="E26" s="34"/>
      <x:c r="F26" s="34"/>
      <x:c r="G26" s="34"/>
      <x:c r="H26" s="81"/>
      <x:c r="I26" s="34"/>
      <x:c r="J26" s="34"/>
      <x:c r="K26" s="79"/>
      <x:c r="L26" s="34"/>
      <x:c r="M26" s="34"/>
      <x:c r="N26" s="34"/>
      <x:c r="O26" s="34"/>
      <x:c r="P26" s="35"/>
    </x:row>
    <x:row r="27">
      <x:c r="A27" s="34"/>
      <x:c r="B27" s="172"/>
      <x:c r="C27" s="34"/>
      <x:c r="D27" s="34"/>
      <x:c r="E27" s="34"/>
      <x:c r="F27" s="34"/>
      <x:c r="G27" s="34"/>
      <x:c r="H27" s="81"/>
      <x:c r="I27" s="34"/>
      <x:c r="J27" s="34"/>
      <x:c r="K27" s="79"/>
      <x:c r="L27" s="34"/>
      <x:c r="M27" s="34"/>
      <x:c r="N27" s="34"/>
      <x:c r="O27" s="34"/>
      <x:c r="P27" s="35"/>
    </x:row>
    <x:row r="28">
      <x:c r="A28" s="34"/>
      <x:c r="B28" s="172"/>
      <x:c r="C28" s="34"/>
      <x:c r="D28" s="34"/>
      <x:c r="E28" s="34"/>
      <x:c r="F28" s="34"/>
      <x:c r="G28" s="34"/>
      <x:c r="H28" s="81"/>
      <x:c r="I28" s="34"/>
      <x:c r="J28" s="34"/>
      <x:c r="K28" s="79"/>
      <x:c r="L28" s="34"/>
      <x:c r="M28" s="34"/>
      <x:c r="N28" s="34"/>
      <x:c r="O28" s="34"/>
      <x:c r="P28" s="35"/>
    </x:row>
    <x:row r="29">
      <x:c r="A29" s="34"/>
      <x:c r="B29" s="172"/>
      <x:c r="C29" s="34"/>
      <x:c r="D29" s="34"/>
      <x:c r="E29" s="34"/>
      <x:c r="F29" s="34"/>
      <x:c r="G29" s="34"/>
      <x:c r="H29" s="81"/>
      <x:c r="I29" s="34"/>
      <x:c r="J29" s="34"/>
      <x:c r="K29" s="79"/>
      <x:c r="L29" s="34"/>
      <x:c r="M29" s="34"/>
      <x:c r="N29" s="34"/>
      <x:c r="O29" s="34"/>
      <x:c r="P29" s="35"/>
    </x:row>
    <x:row r="30">
      <x:c r="A30" s="34"/>
      <x:c r="B30" s="172"/>
      <x:c r="C30" s="34"/>
      <x:c r="D30" s="34"/>
      <x:c r="E30" s="34"/>
      <x:c r="F30" s="34"/>
      <x:c r="G30" s="34"/>
      <x:c r="H30" s="81"/>
      <x:c r="I30" s="34"/>
      <x:c r="J30" s="34"/>
      <x:c r="K30" s="79"/>
      <x:c r="L30" s="34"/>
      <x:c r="M30" s="34"/>
      <x:c r="N30" s="34"/>
      <x:c r="O30" s="34"/>
      <x:c r="P30" s="35"/>
    </x:row>
    <x:row r="31">
      <x:c r="A31" s="34"/>
      <x:c r="B31" s="172"/>
      <x:c r="C31" s="34"/>
      <x:c r="D31" s="34"/>
      <x:c r="E31" s="34"/>
      <x:c r="F31" s="34"/>
      <x:c r="G31" s="34"/>
      <x:c r="H31" s="81"/>
      <x:c r="I31" s="34"/>
      <x:c r="J31" s="34"/>
      <x:c r="K31" s="79"/>
      <x:c r="L31" s="34"/>
      <x:c r="M31" s="34"/>
      <x:c r="N31" s="34"/>
      <x:c r="O31" s="34"/>
      <x:c r="P31" s="35"/>
    </x:row>
    <x:row r="32">
      <x:c r="A32" s="34"/>
      <x:c r="B32" s="172"/>
      <x:c r="C32" s="34"/>
      <x:c r="D32" s="34"/>
      <x:c r="E32" s="34"/>
      <x:c r="F32" s="34"/>
      <x:c r="G32" s="34"/>
      <x:c r="H32" s="81"/>
      <x:c r="I32" s="34"/>
      <x:c r="J32" s="34"/>
      <x:c r="K32" s="79"/>
      <x:c r="L32" s="34"/>
      <x:c r="M32" s="34"/>
      <x:c r="N32" s="34"/>
      <x:c r="O32" s="34"/>
      <x:c r="P32" s="35"/>
    </x:row>
    <x:row r="33">
      <x:c r="A33" s="34"/>
      <x:c r="B33" s="172"/>
      <x:c r="C33" s="34"/>
      <x:c r="D33" s="34"/>
      <x:c r="E33" s="34"/>
      <x:c r="F33" s="34"/>
      <x:c r="G33" s="34"/>
      <x:c r="H33" s="81"/>
      <x:c r="I33" s="34"/>
      <x:c r="J33" s="34"/>
      <x:c r="K33" s="79"/>
      <x:c r="L33" s="34"/>
      <x:c r="M33" s="34"/>
      <x:c r="N33" s="34"/>
      <x:c r="O33" s="34"/>
      <x:c r="P33" s="35"/>
    </x:row>
    <x:row r="34">
      <x:c r="A34" s="34"/>
      <x:c r="B34" s="172"/>
      <x:c r="C34" s="34"/>
      <x:c r="D34" s="34"/>
      <x:c r="E34" s="34"/>
      <x:c r="F34" s="34"/>
      <x:c r="G34" s="34"/>
      <x:c r="H34" s="81"/>
      <x:c r="I34" s="34"/>
      <x:c r="J34" s="34"/>
      <x:c r="K34" s="79"/>
      <x:c r="L34" s="34"/>
      <x:c r="M34" s="34"/>
      <x:c r="N34" s="34"/>
      <x:c r="O34" s="34"/>
      <x:c r="P34" s="35"/>
    </x:row>
    <x:row r="35">
      <x:c r="A35" s="34"/>
      <x:c r="B35" s="172"/>
      <x:c r="C35" s="34"/>
      <x:c r="D35" s="34"/>
      <x:c r="E35" s="34"/>
      <x:c r="F35" s="34"/>
      <x:c r="G35" s="34"/>
      <x:c r="H35" s="81"/>
      <x:c r="I35" s="34"/>
      <x:c r="J35" s="34"/>
      <x:c r="K35" s="79"/>
      <x:c r="L35" s="34"/>
      <x:c r="M35" s="34"/>
      <x:c r="N35" s="34"/>
      <x:c r="O35" s="34"/>
      <x:c r="P35" s="35"/>
    </x:row>
    <x:row r="36">
      <x:c r="A36" s="34"/>
      <x:c r="B36" s="172"/>
      <x:c r="C36" s="34"/>
      <x:c r="D36" s="34"/>
      <x:c r="E36" s="34"/>
      <x:c r="F36" s="34"/>
      <x:c r="G36" s="34"/>
      <x:c r="H36" s="81"/>
      <x:c r="I36" s="34"/>
      <x:c r="J36" s="34"/>
      <x:c r="K36" s="79"/>
      <x:c r="L36" s="34"/>
      <x:c r="M36" s="34"/>
      <x:c r="N36" s="34"/>
      <x:c r="O36" s="34"/>
      <x:c r="P36" s="35"/>
    </x:row>
    <x:row r="37">
      <x:c r="A37" s="34"/>
      <x:c r="B37" s="172"/>
      <x:c r="C37" s="34"/>
      <x:c r="D37" s="34"/>
      <x:c r="E37" s="34"/>
      <x:c r="F37" s="34"/>
      <x:c r="G37" s="34"/>
      <x:c r="H37" s="81"/>
      <x:c r="I37" s="34"/>
      <x:c r="J37" s="34"/>
      <x:c r="K37" s="79"/>
      <x:c r="L37" s="34"/>
      <x:c r="M37" s="34"/>
      <x:c r="N37" s="34"/>
      <x:c r="O37" s="34"/>
      <x:c r="P37" s="35"/>
    </x:row>
    <x:row r="38">
      <x:c r="A38" s="34"/>
      <x:c r="B38" s="172"/>
      <x:c r="C38" s="34"/>
      <x:c r="D38" s="34"/>
      <x:c r="E38" s="34"/>
      <x:c r="F38" s="34"/>
      <x:c r="G38" s="34"/>
      <x:c r="H38" s="81"/>
      <x:c r="I38" s="34"/>
      <x:c r="J38" s="34"/>
      <x:c r="K38" s="79"/>
      <x:c r="L38" s="34"/>
      <x:c r="M38" s="34"/>
      <x:c r="N38" s="34"/>
      <x:c r="O38" s="34"/>
      <x:c r="P38" s="35"/>
    </x:row>
    <x:row r="39">
      <x:c r="A39" s="34"/>
      <x:c r="B39" s="172"/>
      <x:c r="C39" s="34"/>
      <x:c r="D39" s="34"/>
      <x:c r="E39" s="34"/>
      <x:c r="F39" s="34"/>
      <x:c r="G39" s="34"/>
      <x:c r="H39" s="81"/>
      <x:c r="I39" s="34"/>
      <x:c r="J39" s="34"/>
      <x:c r="K39" s="79"/>
      <x:c r="L39" s="34"/>
      <x:c r="M39" s="34"/>
      <x:c r="N39" s="34"/>
      <x:c r="O39" s="34"/>
      <x:c r="P39" s="35"/>
    </x:row>
    <x:row r="40">
      <x:c r="A40" s="34"/>
      <x:c r="B40" s="172"/>
      <x:c r="C40" s="34"/>
      <x:c r="D40" s="34"/>
      <x:c r="E40" s="34"/>
      <x:c r="F40" s="34"/>
      <x:c r="G40" s="34"/>
      <x:c r="H40" s="81"/>
      <x:c r="I40" s="34"/>
      <x:c r="J40" s="34"/>
      <x:c r="K40" s="79"/>
      <x:c r="L40" s="34"/>
      <x:c r="M40" s="34"/>
      <x:c r="N40" s="34"/>
      <x:c r="O40" s="34"/>
      <x:c r="P40" s="35"/>
    </x:row>
    <x:row r="41">
      <x:c r="A41" s="34"/>
      <x:c r="B41" s="172"/>
      <x:c r="C41" s="34"/>
      <x:c r="D41" s="34"/>
      <x:c r="E41" s="34"/>
      <x:c r="F41" s="34"/>
      <x:c r="G41" s="34"/>
      <x:c r="H41" s="81"/>
      <x:c r="I41" s="34"/>
      <x:c r="J41" s="34"/>
      <x:c r="K41" s="79"/>
      <x:c r="L41" s="34"/>
      <x:c r="M41" s="34"/>
      <x:c r="N41" s="34"/>
      <x:c r="O41" s="34"/>
      <x:c r="P41" s="35"/>
    </x:row>
    <x:row r="42">
      <x:c r="A42" s="34"/>
      <x:c r="B42" s="172"/>
      <x:c r="C42" s="34"/>
      <x:c r="D42" s="34"/>
      <x:c r="E42" s="34"/>
      <x:c r="F42" s="34"/>
      <x:c r="G42" s="34"/>
      <x:c r="H42" s="81"/>
      <x:c r="I42" s="34"/>
      <x:c r="J42" s="34"/>
      <x:c r="K42" s="79"/>
      <x:c r="L42" s="34"/>
      <x:c r="M42" s="34"/>
      <x:c r="N42" s="34"/>
      <x:c r="O42" s="34"/>
      <x:c r="P42" s="35"/>
    </x:row>
    <x:row r="43">
      <x:c r="A43" s="34"/>
      <x:c r="B43" s="172"/>
      <x:c r="C43" s="34"/>
      <x:c r="D43" s="34"/>
      <x:c r="E43" s="34"/>
      <x:c r="F43" s="34"/>
      <x:c r="G43" s="34"/>
      <x:c r="H43" s="81"/>
      <x:c r="I43" s="34"/>
      <x:c r="J43" s="34"/>
      <x:c r="K43" s="79"/>
      <x:c r="L43" s="34"/>
      <x:c r="M43" s="34"/>
      <x:c r="N43" s="34"/>
      <x:c r="O43" s="34"/>
      <x:c r="P43" s="35"/>
    </x:row>
    <x:row r="44">
      <x:c r="A44" s="34"/>
      <x:c r="B44" s="172"/>
      <x:c r="C44" s="34"/>
      <x:c r="D44" s="34"/>
      <x:c r="E44" s="34"/>
      <x:c r="F44" s="34"/>
      <x:c r="G44" s="34"/>
      <x:c r="H44" s="81"/>
      <x:c r="I44" s="34"/>
      <x:c r="J44" s="34"/>
      <x:c r="K44" s="79"/>
      <x:c r="L44" s="34"/>
      <x:c r="M44" s="34"/>
      <x:c r="N44" s="34"/>
      <x:c r="O44" s="34"/>
      <x:c r="P44" s="35"/>
    </x:row>
    <x:row r="45">
      <x:c r="A45" s="34"/>
      <x:c r="B45" s="172"/>
      <x:c r="C45" s="34"/>
      <x:c r="D45" s="34"/>
      <x:c r="E45" s="34"/>
      <x:c r="F45" s="34"/>
      <x:c r="G45" s="34"/>
      <x:c r="H45" s="81"/>
      <x:c r="I45" s="34"/>
      <x:c r="J45" s="34"/>
      <x:c r="K45" s="79"/>
      <x:c r="L45" s="34"/>
      <x:c r="M45" s="34"/>
      <x:c r="N45" s="34"/>
      <x:c r="O45" s="34"/>
      <x:c r="P45" s="35"/>
    </x:row>
    <x:row r="46">
      <x:c r="A46" s="34"/>
      <x:c r="B46" s="172"/>
      <x:c r="C46" s="34"/>
      <x:c r="D46" s="34"/>
      <x:c r="E46" s="34"/>
      <x:c r="F46" s="34"/>
      <x:c r="G46" s="34"/>
      <x:c r="H46" s="81"/>
      <x:c r="I46" s="34"/>
      <x:c r="J46" s="34"/>
      <x:c r="K46" s="79"/>
      <x:c r="L46" s="34"/>
      <x:c r="M46" s="34"/>
      <x:c r="N46" s="34"/>
      <x:c r="O46" s="34"/>
      <x:c r="P46" s="35"/>
    </x:row>
    <x:row r="47">
      <x:c r="A47" s="34"/>
      <x:c r="B47" s="172"/>
      <x:c r="C47" s="34"/>
      <x:c r="D47" s="34"/>
      <x:c r="E47" s="34"/>
      <x:c r="F47" s="34"/>
      <x:c r="G47" s="34"/>
      <x:c r="H47" s="81"/>
      <x:c r="I47" s="34"/>
      <x:c r="J47" s="34"/>
      <x:c r="K47" s="79"/>
      <x:c r="L47" s="34"/>
      <x:c r="M47" s="34"/>
      <x:c r="N47" s="34"/>
      <x:c r="O47" s="34"/>
      <x:c r="P47" s="35"/>
    </x:row>
    <x:row r="48">
      <x:c r="A48" s="34"/>
      <x:c r="B48" s="172"/>
      <x:c r="C48" s="34"/>
      <x:c r="D48" s="34"/>
      <x:c r="E48" s="34"/>
      <x:c r="F48" s="34"/>
      <x:c r="G48" s="34"/>
      <x:c r="H48" s="81"/>
      <x:c r="I48" s="34"/>
      <x:c r="J48" s="34"/>
      <x:c r="K48" s="79"/>
      <x:c r="L48" s="34"/>
      <x:c r="M48" s="34"/>
      <x:c r="N48" s="34"/>
      <x:c r="O48" s="34"/>
      <x:c r="P48" s="35"/>
    </x:row>
    <x:row r="49">
      <x:c r="A49" s="34"/>
      <x:c r="B49" s="172"/>
      <x:c r="C49" s="34"/>
      <x:c r="D49" s="34"/>
      <x:c r="E49" s="34"/>
      <x:c r="F49" s="34"/>
      <x:c r="G49" s="34"/>
      <x:c r="H49" s="81"/>
      <x:c r="I49" s="34"/>
      <x:c r="J49" s="34"/>
      <x:c r="K49" s="79"/>
      <x:c r="L49" s="34"/>
      <x:c r="M49" s="34"/>
      <x:c r="N49" s="34"/>
      <x:c r="O49" s="34"/>
      <x:c r="P49" s="35"/>
    </x:row>
    <x:row r="50">
      <x:c r="A50" s="34"/>
      <x:c r="B50" s="172"/>
      <x:c r="C50" s="34"/>
      <x:c r="D50" s="34"/>
      <x:c r="E50" s="34"/>
      <x:c r="F50" s="34"/>
      <x:c r="G50" s="34"/>
      <x:c r="H50" s="81"/>
      <x:c r="I50" s="34"/>
      <x:c r="J50" s="34"/>
      <x:c r="K50" s="79"/>
      <x:c r="L50" s="34"/>
      <x:c r="M50" s="34"/>
      <x:c r="N50" s="34"/>
      <x:c r="O50" s="34"/>
      <x:c r="P50" s="35"/>
    </x:row>
    <x:row r="51">
      <x:c r="A51" s="34"/>
      <x:c r="B51" s="172"/>
      <x:c r="C51" s="34"/>
      <x:c r="D51" s="34"/>
      <x:c r="E51" s="34"/>
      <x:c r="F51" s="34"/>
      <x:c r="G51" s="34"/>
      <x:c r="H51" s="81"/>
      <x:c r="I51" s="34"/>
      <x:c r="J51" s="34"/>
      <x:c r="K51" s="79"/>
      <x:c r="L51" s="34"/>
      <x:c r="M51" s="34"/>
      <x:c r="N51" s="34"/>
      <x:c r="O51" s="34"/>
      <x:c r="P51" s="35"/>
    </x:row>
    <x:row r="52">
      <x:c r="A52" s="34"/>
      <x:c r="B52" s="172"/>
      <x:c r="C52" s="34"/>
      <x:c r="D52" s="34"/>
      <x:c r="E52" s="34"/>
      <x:c r="F52" s="34"/>
      <x:c r="G52" s="34"/>
      <x:c r="H52" s="81"/>
      <x:c r="I52" s="34"/>
      <x:c r="J52" s="34"/>
      <x:c r="K52" s="79"/>
      <x:c r="L52" s="34"/>
      <x:c r="M52" s="34"/>
      <x:c r="N52" s="34"/>
      <x:c r="O52" s="34"/>
      <x:c r="P52" s="35"/>
    </x:row>
    <x:row r="53">
      <x:c r="A53" s="34"/>
      <x:c r="B53" s="172"/>
      <x:c r="C53" s="34"/>
      <x:c r="D53" s="34"/>
      <x:c r="E53" s="34"/>
      <x:c r="F53" s="34"/>
      <x:c r="G53" s="34"/>
      <x:c r="H53" s="81"/>
      <x:c r="I53" s="34"/>
      <x:c r="J53" s="34"/>
      <x:c r="K53" s="79"/>
      <x:c r="L53" s="34"/>
      <x:c r="M53" s="34"/>
      <x:c r="N53" s="34"/>
      <x:c r="O53" s="34"/>
      <x:c r="P53" s="35"/>
    </x:row>
    <x:row r="54">
      <x:c r="A54" s="34"/>
      <x:c r="B54" s="172"/>
      <x:c r="C54" s="34"/>
      <x:c r="D54" s="34"/>
      <x:c r="E54" s="34"/>
      <x:c r="F54" s="34"/>
      <x:c r="G54" s="34"/>
      <x:c r="H54" s="81"/>
      <x:c r="I54" s="34"/>
      <x:c r="J54" s="34"/>
      <x:c r="K54" s="79"/>
      <x:c r="L54" s="34"/>
      <x:c r="M54" s="34"/>
      <x:c r="N54" s="34"/>
      <x:c r="O54" s="34"/>
      <x:c r="P54" s="35"/>
    </x:row>
    <x:row r="55">
      <x:c r="A55" s="34"/>
      <x:c r="B55" s="172"/>
      <x:c r="C55" s="34"/>
      <x:c r="D55" s="34"/>
      <x:c r="E55" s="34"/>
      <x:c r="F55" s="34"/>
      <x:c r="G55" s="34"/>
      <x:c r="H55" s="81"/>
      <x:c r="I55" s="34"/>
      <x:c r="J55" s="34"/>
      <x:c r="K55" s="79"/>
      <x:c r="L55" s="34"/>
      <x:c r="M55" s="34"/>
      <x:c r="N55" s="34"/>
      <x:c r="O55" s="34"/>
      <x:c r="P55" s="35"/>
    </x:row>
    <x:row r="56">
      <x:c r="A56" s="34"/>
      <x:c r="B56" s="172"/>
      <x:c r="C56" s="34"/>
      <x:c r="D56" s="34"/>
      <x:c r="E56" s="34"/>
      <x:c r="F56" s="34"/>
      <x:c r="G56" s="34"/>
      <x:c r="H56" s="81"/>
      <x:c r="I56" s="34"/>
      <x:c r="J56" s="34"/>
      <x:c r="K56" s="79"/>
      <x:c r="L56" s="34"/>
      <x:c r="M56" s="34"/>
      <x:c r="N56" s="34"/>
      <x:c r="O56" s="34"/>
      <x:c r="P56" s="35"/>
    </x:row>
    <x:row r="57">
      <x:c r="A57" s="34"/>
      <x:c r="B57" s="172"/>
      <x:c r="C57" s="34"/>
      <x:c r="D57" s="34"/>
      <x:c r="E57" s="34"/>
      <x:c r="F57" s="34"/>
      <x:c r="G57" s="34"/>
      <x:c r="H57" s="81"/>
      <x:c r="I57" s="34"/>
      <x:c r="J57" s="34"/>
      <x:c r="K57" s="79"/>
      <x:c r="L57" s="34"/>
      <x:c r="M57" s="34"/>
      <x:c r="N57" s="34"/>
      <x:c r="O57" s="34"/>
      <x:c r="P57" s="35"/>
    </x:row>
    <x:row r="58">
      <x:c r="A58" s="34"/>
      <x:c r="B58" s="172"/>
      <x:c r="C58" s="34"/>
      <x:c r="D58" s="34"/>
      <x:c r="E58" s="34"/>
      <x:c r="F58" s="34"/>
      <x:c r="G58" s="34"/>
      <x:c r="H58" s="81"/>
      <x:c r="I58" s="34"/>
      <x:c r="J58" s="34"/>
      <x:c r="K58" s="79"/>
      <x:c r="L58" s="34"/>
      <x:c r="M58" s="34"/>
      <x:c r="N58" s="34"/>
      <x:c r="O58" s="34"/>
      <x:c r="P58" s="35"/>
    </x:row>
    <x:row r="59">
      <x:c r="A59" s="34"/>
      <x:c r="B59" s="172"/>
      <x:c r="C59" s="34"/>
      <x:c r="D59" s="34"/>
      <x:c r="E59" s="34"/>
      <x:c r="F59" s="34"/>
      <x:c r="G59" s="34"/>
      <x:c r="H59" s="81"/>
      <x:c r="I59" s="34"/>
      <x:c r="J59" s="34"/>
      <x:c r="K59" s="79"/>
      <x:c r="L59" s="34"/>
      <x:c r="M59" s="34"/>
      <x:c r="N59" s="34"/>
      <x:c r="O59" s="34"/>
      <x:c r="P59" s="35"/>
    </x:row>
    <x:row r="60">
      <x:c r="A60" s="34"/>
      <x:c r="B60" s="172"/>
      <x:c r="C60" s="34"/>
      <x:c r="D60" s="34"/>
      <x:c r="E60" s="34"/>
      <x:c r="F60" s="34"/>
      <x:c r="G60" s="34"/>
      <x:c r="H60" s="81"/>
      <x:c r="I60" s="34"/>
      <x:c r="J60" s="34"/>
      <x:c r="K60" s="79"/>
      <x:c r="L60" s="34"/>
      <x:c r="M60" s="34"/>
      <x:c r="N60" s="34"/>
      <x:c r="O60" s="34"/>
      <x:c r="P60" s="35"/>
    </x:row>
    <x:row r="61">
      <x:c r="A61" s="34"/>
      <x:c r="B61" s="172"/>
      <x:c r="C61" s="34"/>
      <x:c r="D61" s="34"/>
      <x:c r="E61" s="34"/>
      <x:c r="F61" s="34"/>
      <x:c r="G61" s="34"/>
      <x:c r="H61" s="81"/>
      <x:c r="I61" s="34"/>
      <x:c r="J61" s="34"/>
      <x:c r="K61" s="79"/>
      <x:c r="L61" s="34"/>
      <x:c r="M61" s="34"/>
      <x:c r="N61" s="34"/>
      <x:c r="O61" s="34"/>
      <x:c r="P61" s="35"/>
    </x:row>
    <x:row r="62">
      <x:c r="A62" s="34"/>
      <x:c r="B62" s="172"/>
      <x:c r="C62" s="34"/>
      <x:c r="D62" s="34"/>
      <x:c r="E62" s="34"/>
      <x:c r="F62" s="34"/>
      <x:c r="G62" s="34"/>
      <x:c r="H62" s="81"/>
      <x:c r="I62" s="34"/>
      <x:c r="J62" s="34"/>
      <x:c r="K62" s="79"/>
      <x:c r="L62" s="34"/>
      <x:c r="M62" s="34"/>
      <x:c r="N62" s="34"/>
      <x:c r="O62" s="34"/>
      <x:c r="P62" s="35"/>
    </x:row>
    <x:row r="63">
      <x:c r="A63" s="34"/>
      <x:c r="B63" s="172"/>
      <x:c r="C63" s="34"/>
      <x:c r="D63" s="34"/>
      <x:c r="E63" s="34"/>
      <x:c r="F63" s="34"/>
      <x:c r="G63" s="34"/>
      <x:c r="H63" s="81"/>
      <x:c r="I63" s="34"/>
      <x:c r="J63" s="34"/>
      <x:c r="K63" s="79"/>
      <x:c r="L63" s="34"/>
      <x:c r="M63" s="34"/>
      <x:c r="N63" s="34"/>
      <x:c r="O63" s="34"/>
      <x:c r="P63" s="35"/>
    </x:row>
    <x:row r="64">
      <x:c r="A64" s="34"/>
      <x:c r="B64" s="172"/>
      <x:c r="C64" s="34"/>
      <x:c r="D64" s="34"/>
      <x:c r="E64" s="34"/>
      <x:c r="F64" s="34"/>
      <x:c r="G64" s="34"/>
      <x:c r="H64" s="81"/>
      <x:c r="I64" s="34"/>
      <x:c r="J64" s="34"/>
      <x:c r="K64" s="79"/>
      <x:c r="L64" s="34"/>
      <x:c r="M64" s="34"/>
      <x:c r="N64" s="34"/>
      <x:c r="O64" s="34"/>
      <x:c r="P64" s="35"/>
    </x:row>
    <x:row r="65">
      <x:c r="A65" s="34"/>
      <x:c r="B65" s="172"/>
      <x:c r="C65" s="34"/>
      <x:c r="D65" s="34"/>
      <x:c r="E65" s="34"/>
      <x:c r="F65" s="34"/>
      <x:c r="G65" s="34"/>
      <x:c r="H65" s="81"/>
      <x:c r="I65" s="34"/>
      <x:c r="J65" s="34"/>
      <x:c r="K65" s="79"/>
      <x:c r="L65" s="34"/>
      <x:c r="M65" s="34"/>
      <x:c r="N65" s="34"/>
      <x:c r="O65" s="34"/>
      <x:c r="P65" s="35"/>
    </x:row>
    <x:row r="66">
      <x:c r="A66" s="34"/>
      <x:c r="B66" s="172"/>
      <x:c r="C66" s="34"/>
      <x:c r="D66" s="34"/>
      <x:c r="E66" s="34"/>
      <x:c r="F66" s="34"/>
      <x:c r="G66" s="34"/>
      <x:c r="H66" s="81"/>
      <x:c r="I66" s="34"/>
      <x:c r="J66" s="34"/>
      <x:c r="K66" s="79"/>
      <x:c r="L66" s="34"/>
      <x:c r="M66" s="34"/>
      <x:c r="N66" s="34"/>
      <x:c r="O66" s="34"/>
      <x:c r="P66" s="35"/>
    </x:row>
    <x:row r="67">
      <x:c r="A67" s="34"/>
      <x:c r="B67" s="172"/>
      <x:c r="C67" s="34"/>
      <x:c r="D67" s="34"/>
      <x:c r="E67" s="34"/>
      <x:c r="F67" s="34"/>
      <x:c r="G67" s="34"/>
      <x:c r="H67" s="81"/>
      <x:c r="I67" s="34"/>
      <x:c r="J67" s="34"/>
      <x:c r="K67" s="79"/>
      <x:c r="L67" s="34"/>
      <x:c r="M67" s="34"/>
      <x:c r="N67" s="34"/>
      <x:c r="O67" s="34"/>
      <x:c r="P67" s="35"/>
    </x:row>
    <x:row r="68">
      <x:c r="A68" s="34"/>
      <x:c r="B68" s="172"/>
      <x:c r="C68" s="34"/>
      <x:c r="D68" s="34"/>
      <x:c r="E68" s="34"/>
      <x:c r="F68" s="34"/>
      <x:c r="G68" s="34"/>
      <x:c r="H68" s="81"/>
      <x:c r="I68" s="34"/>
      <x:c r="J68" s="34"/>
      <x:c r="K68" s="79"/>
      <x:c r="L68" s="34"/>
      <x:c r="M68" s="34"/>
      <x:c r="N68" s="34"/>
      <x:c r="O68" s="34"/>
      <x:c r="P68" s="35"/>
    </x:row>
    <x:row r="69">
      <x:c r="A69" s="34"/>
      <x:c r="B69" s="172"/>
      <x:c r="C69" s="34"/>
      <x:c r="D69" s="34"/>
      <x:c r="E69" s="34"/>
      <x:c r="F69" s="34"/>
      <x:c r="G69" s="34"/>
      <x:c r="H69" s="81"/>
      <x:c r="I69" s="34"/>
      <x:c r="J69" s="34"/>
      <x:c r="K69" s="79"/>
      <x:c r="L69" s="34"/>
      <x:c r="M69" s="34"/>
      <x:c r="N69" s="34"/>
      <x:c r="O69" s="34"/>
      <x:c r="P69" s="35"/>
    </x:row>
    <x:row r="70">
      <x:c r="A70" s="34"/>
      <x:c r="B70" s="172"/>
      <x:c r="C70" s="34"/>
      <x:c r="D70" s="34"/>
      <x:c r="E70" s="34"/>
      <x:c r="F70" s="34"/>
      <x:c r="G70" s="34"/>
      <x:c r="H70" s="81"/>
      <x:c r="I70" s="34"/>
      <x:c r="J70" s="34"/>
      <x:c r="K70" s="79"/>
      <x:c r="L70" s="34"/>
      <x:c r="M70" s="34"/>
      <x:c r="N70" s="34"/>
      <x:c r="O70" s="34"/>
      <x:c r="P70" s="35"/>
    </x:row>
    <x:row r="71">
      <x:c r="A71" s="34"/>
      <x:c r="B71" s="172"/>
      <x:c r="C71" s="34"/>
      <x:c r="D71" s="34"/>
      <x:c r="E71" s="34"/>
      <x:c r="F71" s="34"/>
      <x:c r="G71" s="34"/>
      <x:c r="H71" s="81"/>
      <x:c r="I71" s="34"/>
      <x:c r="J71" s="34"/>
      <x:c r="K71" s="79"/>
      <x:c r="L71" s="34"/>
      <x:c r="M71" s="34"/>
      <x:c r="N71" s="34"/>
      <x:c r="O71" s="34"/>
      <x:c r="P71" s="35"/>
    </x:row>
    <x:row r="72">
      <x:c r="A72" s="34"/>
      <x:c r="B72" s="172"/>
      <x:c r="C72" s="34"/>
      <x:c r="D72" s="34"/>
      <x:c r="E72" s="34"/>
      <x:c r="F72" s="34"/>
      <x:c r="G72" s="34"/>
      <x:c r="H72" s="81"/>
      <x:c r="I72" s="34"/>
      <x:c r="J72" s="34"/>
      <x:c r="K72" s="79"/>
      <x:c r="L72" s="34"/>
      <x:c r="M72" s="34"/>
      <x:c r="N72" s="34"/>
      <x:c r="O72" s="34"/>
      <x:c r="P72" s="35"/>
    </x:row>
    <x:row r="73">
      <x:c r="A73" s="34"/>
      <x:c r="B73" s="172"/>
      <x:c r="C73" s="34"/>
      <x:c r="D73" s="34"/>
      <x:c r="E73" s="34"/>
      <x:c r="F73" s="34"/>
      <x:c r="G73" s="34"/>
      <x:c r="H73" s="81"/>
      <x:c r="I73" s="34"/>
      <x:c r="J73" s="34"/>
      <x:c r="K73" s="79"/>
      <x:c r="L73" s="34"/>
      <x:c r="M73" s="34"/>
      <x:c r="N73" s="34"/>
      <x:c r="O73" s="34"/>
      <x:c r="P73" s="35"/>
    </x:row>
    <x:row r="74">
      <x:c r="A74" s="34"/>
      <x:c r="B74" s="172"/>
      <x:c r="C74" s="34"/>
      <x:c r="D74" s="34"/>
      <x:c r="E74" s="34"/>
      <x:c r="F74" s="34"/>
      <x:c r="G74" s="34"/>
      <x:c r="H74" s="81"/>
      <x:c r="I74" s="34"/>
      <x:c r="J74" s="34"/>
      <x:c r="K74" s="79"/>
      <x:c r="L74" s="34"/>
      <x:c r="M74" s="34"/>
      <x:c r="N74" s="34"/>
      <x:c r="O74" s="34"/>
      <x:c r="P74" s="35"/>
    </x:row>
    <x:row r="75">
      <x:c r="A75" s="34"/>
      <x:c r="B75" s="172"/>
      <x:c r="C75" s="34"/>
      <x:c r="D75" s="34"/>
      <x:c r="E75" s="34"/>
      <x:c r="F75" s="34"/>
      <x:c r="G75" s="34"/>
      <x:c r="H75" s="81"/>
      <x:c r="I75" s="34"/>
      <x:c r="J75" s="34"/>
      <x:c r="K75" s="79"/>
      <x:c r="L75" s="34"/>
      <x:c r="M75" s="34"/>
      <x:c r="N75" s="34"/>
      <x:c r="O75" s="34"/>
      <x:c r="P75" s="35"/>
    </x:row>
    <x:row r="76">
      <x:c r="A76" s="34"/>
      <x:c r="B76" s="172"/>
      <x:c r="C76" s="34"/>
      <x:c r="D76" s="34"/>
      <x:c r="E76" s="34"/>
      <x:c r="F76" s="34"/>
      <x:c r="G76" s="34"/>
      <x:c r="H76" s="81"/>
      <x:c r="I76" s="34"/>
      <x:c r="J76" s="34"/>
      <x:c r="K76" s="79"/>
      <x:c r="L76" s="34"/>
      <x:c r="M76" s="34"/>
      <x:c r="N76" s="34"/>
      <x:c r="O76" s="34"/>
      <x:c r="P76" s="35"/>
    </x:row>
    <x:row r="77">
      <x:c r="A77" s="34"/>
      <x:c r="B77" s="172"/>
      <x:c r="C77" s="34"/>
      <x:c r="D77" s="34"/>
      <x:c r="E77" s="34"/>
      <x:c r="F77" s="34"/>
      <x:c r="G77" s="34"/>
      <x:c r="H77" s="81"/>
      <x:c r="I77" s="34"/>
      <x:c r="J77" s="34"/>
      <x:c r="K77" s="79"/>
      <x:c r="L77" s="34"/>
      <x:c r="M77" s="34"/>
      <x:c r="N77" s="34"/>
      <x:c r="O77" s="34"/>
      <x:c r="P77" s="35"/>
    </x:row>
    <x:row r="78">
      <x:c r="A78" s="34"/>
      <x:c r="B78" s="172"/>
      <x:c r="C78" s="34"/>
      <x:c r="D78" s="34"/>
      <x:c r="E78" s="34"/>
      <x:c r="F78" s="34"/>
      <x:c r="G78" s="34"/>
      <x:c r="H78" s="81"/>
      <x:c r="I78" s="34"/>
      <x:c r="J78" s="34"/>
      <x:c r="K78" s="79"/>
      <x:c r="L78" s="34"/>
      <x:c r="M78" s="34"/>
      <x:c r="N78" s="34"/>
      <x:c r="O78" s="34"/>
      <x:c r="P78" s="35"/>
    </x:row>
    <x:row r="79">
      <x:c r="A79" s="34"/>
      <x:c r="B79" s="172"/>
      <x:c r="C79" s="34"/>
      <x:c r="D79" s="34"/>
      <x:c r="E79" s="34"/>
      <x:c r="F79" s="34"/>
      <x:c r="G79" s="34"/>
      <x:c r="H79" s="81"/>
      <x:c r="I79" s="34"/>
      <x:c r="J79" s="34"/>
      <x:c r="K79" s="79"/>
      <x:c r="L79" s="34"/>
      <x:c r="M79" s="34"/>
      <x:c r="N79" s="34"/>
      <x:c r="O79" s="34"/>
      <x:c r="P79" s="35"/>
    </x:row>
    <x:row r="80">
      <x:c r="A80" s="34"/>
      <x:c r="B80" s="172"/>
      <x:c r="C80" s="34"/>
      <x:c r="D80" s="34"/>
      <x:c r="E80" s="34"/>
      <x:c r="F80" s="34"/>
      <x:c r="G80" s="34"/>
      <x:c r="H80" s="81"/>
      <x:c r="I80" s="34"/>
      <x:c r="J80" s="34"/>
      <x:c r="K80" s="79"/>
      <x:c r="L80" s="34"/>
      <x:c r="M80" s="34"/>
      <x:c r="N80" s="34"/>
      <x:c r="O80" s="34"/>
      <x:c r="P80" s="35"/>
    </x:row>
    <x:row r="81">
      <x:c r="A81" s="34"/>
      <x:c r="B81" s="172"/>
      <x:c r="C81" s="34"/>
      <x:c r="D81" s="34"/>
      <x:c r="E81" s="34"/>
      <x:c r="F81" s="34"/>
      <x:c r="G81" s="34"/>
      <x:c r="H81" s="81"/>
      <x:c r="I81" s="34"/>
      <x:c r="J81" s="34"/>
      <x:c r="K81" s="79"/>
      <x:c r="L81" s="34"/>
      <x:c r="M81" s="34"/>
      <x:c r="N81" s="34"/>
      <x:c r="O81" s="34"/>
      <x:c r="P81" s="35"/>
    </x:row>
    <x:row r="82">
      <x:c r="A82" s="34"/>
      <x:c r="B82" s="172"/>
      <x:c r="C82" s="34"/>
      <x:c r="D82" s="34"/>
      <x:c r="E82" s="34"/>
      <x:c r="F82" s="34"/>
      <x:c r="G82" s="34"/>
      <x:c r="H82" s="81"/>
      <x:c r="I82" s="34"/>
      <x:c r="J82" s="34"/>
      <x:c r="K82" s="79"/>
      <x:c r="L82" s="34"/>
      <x:c r="M82" s="34"/>
      <x:c r="N82" s="34"/>
      <x:c r="O82" s="34"/>
      <x:c r="P82" s="35"/>
    </x:row>
    <x:row r="83">
      <x:c r="A83" s="34"/>
      <x:c r="B83" s="172"/>
      <x:c r="C83" s="34"/>
      <x:c r="D83" s="34"/>
      <x:c r="E83" s="34"/>
      <x:c r="F83" s="34"/>
      <x:c r="G83" s="34"/>
      <x:c r="H83" s="81"/>
      <x:c r="I83" s="34"/>
      <x:c r="J83" s="34"/>
      <x:c r="K83" s="79"/>
      <x:c r="L83" s="34"/>
      <x:c r="M83" s="34"/>
      <x:c r="N83" s="34"/>
      <x:c r="O83" s="34"/>
      <x:c r="P83" s="35"/>
    </x:row>
    <x:row r="84">
      <x:c r="A84" s="34"/>
      <x:c r="B84" s="172"/>
      <x:c r="C84" s="34"/>
      <x:c r="D84" s="34"/>
      <x:c r="E84" s="34"/>
      <x:c r="F84" s="34"/>
      <x:c r="G84" s="34"/>
      <x:c r="H84" s="81"/>
      <x:c r="I84" s="34"/>
      <x:c r="J84" s="34"/>
      <x:c r="K84" s="79"/>
      <x:c r="L84" s="34"/>
      <x:c r="M84" s="34"/>
      <x:c r="N84" s="34"/>
      <x:c r="O84" s="34"/>
      <x:c r="P84" s="35"/>
    </x:row>
    <x:row r="85">
      <x:c r="A85" s="34"/>
      <x:c r="B85" s="172"/>
      <x:c r="C85" s="34"/>
      <x:c r="D85" s="34"/>
      <x:c r="E85" s="34"/>
      <x:c r="F85" s="34"/>
      <x:c r="G85" s="34"/>
      <x:c r="H85" s="81"/>
      <x:c r="I85" s="34"/>
      <x:c r="J85" s="34"/>
      <x:c r="K85" s="79"/>
      <x:c r="L85" s="34"/>
      <x:c r="M85" s="34"/>
      <x:c r="N85" s="34"/>
      <x:c r="O85" s="34"/>
      <x:c r="P85" s="35"/>
    </x:row>
    <x:row r="86">
      <x:c r="A86" s="34"/>
      <x:c r="B86" s="172"/>
      <x:c r="C86" s="34"/>
      <x:c r="D86" s="34"/>
      <x:c r="E86" s="34"/>
      <x:c r="F86" s="34"/>
      <x:c r="G86" s="34"/>
      <x:c r="H86" s="81"/>
      <x:c r="I86" s="34"/>
      <x:c r="J86" s="34"/>
      <x:c r="K86" s="79"/>
      <x:c r="L86" s="34"/>
      <x:c r="M86" s="34"/>
      <x:c r="N86" s="34"/>
      <x:c r="O86" s="34"/>
      <x:c r="P86" s="35"/>
    </x:row>
    <x:row r="87">
      <x:c r="A87" s="34"/>
      <x:c r="B87" s="172"/>
      <x:c r="C87" s="34"/>
      <x:c r="D87" s="34"/>
      <x:c r="E87" s="34"/>
      <x:c r="F87" s="34"/>
      <x:c r="G87" s="34"/>
      <x:c r="H87" s="81"/>
      <x:c r="I87" s="34"/>
      <x:c r="J87" s="34"/>
      <x:c r="K87" s="79"/>
      <x:c r="L87" s="34"/>
      <x:c r="M87" s="34"/>
      <x:c r="N87" s="34"/>
      <x:c r="O87" s="34"/>
      <x:c r="P87" s="35"/>
    </x:row>
    <x:row r="88">
      <x:c r="A88" s="34"/>
      <x:c r="B88" s="172"/>
      <x:c r="C88" s="34"/>
      <x:c r="D88" s="34"/>
      <x:c r="E88" s="34"/>
      <x:c r="F88" s="34"/>
      <x:c r="G88" s="34"/>
      <x:c r="H88" s="81"/>
      <x:c r="I88" s="34"/>
      <x:c r="J88" s="34"/>
      <x:c r="K88" s="79"/>
      <x:c r="L88" s="34"/>
      <x:c r="M88" s="34"/>
      <x:c r="N88" s="34"/>
      <x:c r="O88" s="34"/>
      <x:c r="P88" s="35"/>
    </x:row>
    <x:row r="89">
      <x:c r="A89" s="34"/>
      <x:c r="B89" s="172"/>
      <x:c r="C89" s="34"/>
      <x:c r="D89" s="34"/>
      <x:c r="E89" s="34"/>
      <x:c r="F89" s="34"/>
      <x:c r="G89" s="34"/>
      <x:c r="H89" s="81"/>
      <x:c r="I89" s="34"/>
      <x:c r="J89" s="34"/>
      <x:c r="K89" s="79"/>
      <x:c r="L89" s="34"/>
      <x:c r="M89" s="34"/>
      <x:c r="N89" s="34"/>
      <x:c r="O89" s="34"/>
      <x:c r="P89" s="35"/>
    </x:row>
    <x:row r="90">
      <x:c r="A90" s="34"/>
      <x:c r="B90" s="172"/>
      <x:c r="C90" s="34"/>
      <x:c r="D90" s="34"/>
      <x:c r="E90" s="34"/>
      <x:c r="F90" s="34"/>
      <x:c r="G90" s="34"/>
      <x:c r="H90" s="81"/>
      <x:c r="I90" s="34"/>
      <x:c r="J90" s="34"/>
      <x:c r="K90" s="79"/>
      <x:c r="L90" s="34"/>
      <x:c r="M90" s="34"/>
      <x:c r="N90" s="34"/>
      <x:c r="O90" s="34"/>
      <x:c r="P90" s="35"/>
    </x:row>
    <x:row r="91">
      <x:c r="A91" s="34"/>
      <x:c r="B91" s="172"/>
      <x:c r="C91" s="34"/>
      <x:c r="D91" s="34"/>
      <x:c r="E91" s="34"/>
      <x:c r="F91" s="34"/>
      <x:c r="G91" s="34"/>
      <x:c r="H91" s="81"/>
      <x:c r="I91" s="34"/>
      <x:c r="J91" s="34"/>
      <x:c r="K91" s="79"/>
      <x:c r="L91" s="34"/>
      <x:c r="M91" s="34"/>
      <x:c r="N91" s="34"/>
      <x:c r="O91" s="34"/>
      <x:c r="P91" s="35"/>
    </x:row>
    <x:row r="92">
      <x:c r="A92" s="34"/>
      <x:c r="B92" s="172"/>
      <x:c r="C92" s="34"/>
      <x:c r="D92" s="34"/>
      <x:c r="E92" s="34"/>
      <x:c r="F92" s="34"/>
      <x:c r="G92" s="34"/>
      <x:c r="H92" s="81"/>
      <x:c r="I92" s="34"/>
      <x:c r="J92" s="34"/>
      <x:c r="K92" s="79"/>
      <x:c r="L92" s="34"/>
      <x:c r="M92" s="34"/>
      <x:c r="N92" s="34"/>
      <x:c r="O92" s="34"/>
      <x:c r="P92" s="35"/>
    </x:row>
    <x:row r="93">
      <x:c r="A93" s="34"/>
      <x:c r="B93" s="172"/>
      <x:c r="C93" s="34"/>
      <x:c r="D93" s="34"/>
      <x:c r="E93" s="34"/>
      <x:c r="F93" s="34"/>
      <x:c r="G93" s="34"/>
      <x:c r="H93" s="81"/>
      <x:c r="I93" s="34"/>
      <x:c r="J93" s="34"/>
      <x:c r="K93" s="79"/>
      <x:c r="L93" s="34"/>
      <x:c r="M93" s="34"/>
      <x:c r="N93" s="34"/>
      <x:c r="O93" s="34"/>
      <x:c r="P93" s="35"/>
    </x:row>
    <x:row r="94">
      <x:c r="A94" s="34"/>
      <x:c r="B94" s="172"/>
      <x:c r="C94" s="34"/>
      <x:c r="D94" s="34"/>
      <x:c r="E94" s="34"/>
      <x:c r="F94" s="34"/>
      <x:c r="G94" s="34"/>
      <x:c r="H94" s="81"/>
      <x:c r="I94" s="34"/>
      <x:c r="J94" s="34"/>
      <x:c r="K94" s="79"/>
      <x:c r="L94" s="34"/>
      <x:c r="M94" s="34"/>
      <x:c r="N94" s="34"/>
      <x:c r="O94" s="34"/>
      <x:c r="P94" s="35"/>
    </x:row>
    <x:row r="95">
      <x:c r="A95" s="34"/>
      <x:c r="B95" s="172"/>
      <x:c r="C95" s="34"/>
      <x:c r="D95" s="34"/>
      <x:c r="E95" s="34"/>
      <x:c r="F95" s="34"/>
      <x:c r="G95" s="34"/>
      <x:c r="H95" s="81"/>
      <x:c r="I95" s="34"/>
      <x:c r="J95" s="34"/>
      <x:c r="K95" s="79"/>
      <x:c r="L95" s="34"/>
      <x:c r="M95" s="34"/>
      <x:c r="N95" s="34"/>
      <x:c r="O95" s="34"/>
      <x:c r="P95" s="35"/>
    </x:row>
    <x:row r="96">
      <x:c r="A96" s="34"/>
      <x:c r="B96" s="172"/>
      <x:c r="C96" s="34"/>
      <x:c r="D96" s="34"/>
      <x:c r="E96" s="34"/>
      <x:c r="F96" s="34"/>
      <x:c r="G96" s="34"/>
      <x:c r="H96" s="81"/>
      <x:c r="I96" s="34"/>
      <x:c r="J96" s="34"/>
      <x:c r="K96" s="79"/>
      <x:c r="L96" s="34"/>
      <x:c r="M96" s="34"/>
      <x:c r="N96" s="34"/>
      <x:c r="O96" s="34"/>
      <x:c r="P96" s="35"/>
    </x:row>
    <x:row r="97">
      <x:c r="A97" s="34"/>
      <x:c r="B97" s="172"/>
      <x:c r="C97" s="34"/>
      <x:c r="D97" s="34"/>
      <x:c r="E97" s="34"/>
      <x:c r="F97" s="34"/>
      <x:c r="G97" s="34"/>
      <x:c r="H97" s="81"/>
      <x:c r="I97" s="34"/>
      <x:c r="J97" s="34"/>
      <x:c r="K97" s="79"/>
      <x:c r="L97" s="34"/>
      <x:c r="M97" s="34"/>
      <x:c r="N97" s="34"/>
      <x:c r="O97" s="34"/>
      <x:c r="P97" s="35"/>
    </x:row>
    <x:row r="98">
      <x:c r="A98" s="34"/>
      <x:c r="B98" s="172"/>
      <x:c r="C98" s="34"/>
      <x:c r="D98" s="34"/>
      <x:c r="E98" s="34"/>
      <x:c r="F98" s="34"/>
      <x:c r="G98" s="34"/>
      <x:c r="H98" s="81"/>
      <x:c r="I98" s="34"/>
      <x:c r="J98" s="34"/>
      <x:c r="K98" s="79"/>
      <x:c r="L98" s="34"/>
      <x:c r="M98" s="34"/>
      <x:c r="N98" s="34"/>
      <x:c r="O98" s="34"/>
      <x:c r="P98" s="35"/>
    </x:row>
    <x:row r="99">
      <x:c r="A99" s="34"/>
      <x:c r="B99" s="172"/>
      <x:c r="C99" s="34"/>
      <x:c r="D99" s="34"/>
      <x:c r="E99" s="34"/>
      <x:c r="F99" s="34"/>
      <x:c r="G99" s="34"/>
      <x:c r="H99" s="81"/>
      <x:c r="I99" s="34"/>
      <x:c r="J99" s="34"/>
      <x:c r="K99" s="79"/>
      <x:c r="L99" s="34"/>
      <x:c r="M99" s="34"/>
      <x:c r="N99" s="34"/>
      <x:c r="O99" s="34"/>
      <x:c r="P99" s="35"/>
    </x:row>
    <x:row r="100">
      <x:c r="A100" s="34"/>
      <x:c r="B100" s="172"/>
      <x:c r="C100" s="34"/>
      <x:c r="D100" s="34"/>
      <x:c r="E100" s="34"/>
      <x:c r="F100" s="34"/>
      <x:c r="G100" s="34"/>
      <x:c r="H100" s="81"/>
      <x:c r="I100" s="34"/>
      <x:c r="J100" s="34"/>
      <x:c r="K100" s="79"/>
      <x:c r="L100" s="34"/>
      <x:c r="M100" s="34"/>
      <x:c r="N100" s="34"/>
      <x:c r="O100" s="34"/>
      <x:c r="P100" s="35"/>
    </x:row>
    <x:row r="101">
      <x:c r="A101" s="34"/>
      <x:c r="B101" s="172"/>
      <x:c r="C101" s="34"/>
      <x:c r="D101" s="34"/>
      <x:c r="E101" s="34"/>
      <x:c r="F101" s="34"/>
      <x:c r="G101" s="34"/>
      <x:c r="H101" s="81"/>
      <x:c r="I101" s="34"/>
      <x:c r="J101" s="34"/>
      <x:c r="K101" s="79"/>
      <x:c r="L101" s="34"/>
      <x:c r="M101" s="34"/>
      <x:c r="N101" s="34"/>
      <x:c r="O101" s="34"/>
      <x:c r="P101" s="35"/>
    </x:row>
    <x:row r="102">
      <x:c r="A102" s="34"/>
      <x:c r="B102" s="172"/>
      <x:c r="C102" s="34"/>
      <x:c r="D102" s="34"/>
      <x:c r="E102" s="34"/>
      <x:c r="F102" s="34"/>
      <x:c r="G102" s="34"/>
      <x:c r="H102" s="81"/>
      <x:c r="I102" s="34"/>
      <x:c r="J102" s="34"/>
      <x:c r="K102" s="79"/>
      <x:c r="L102" s="34"/>
      <x:c r="M102" s="34"/>
      <x:c r="N102" s="34"/>
      <x:c r="O102" s="34"/>
      <x:c r="P102" s="35"/>
    </x:row>
    <x:row r="103">
      <x:c r="A103" s="34"/>
      <x:c r="B103" s="172"/>
      <x:c r="C103" s="34"/>
      <x:c r="D103" s="34"/>
      <x:c r="E103" s="34"/>
      <x:c r="F103" s="34"/>
      <x:c r="G103" s="34"/>
      <x:c r="H103" s="81"/>
      <x:c r="I103" s="34"/>
      <x:c r="J103" s="34"/>
      <x:c r="K103" s="79"/>
      <x:c r="L103" s="34"/>
      <x:c r="M103" s="34"/>
      <x:c r="N103" s="34"/>
      <x:c r="O103" s="34"/>
      <x:c r="P103" s="35"/>
    </x:row>
    <x:row r="104">
      <x:c r="A104" s="34"/>
      <x:c r="B104" s="172"/>
      <x:c r="C104" s="34"/>
      <x:c r="D104" s="34"/>
      <x:c r="E104" s="34"/>
      <x:c r="F104" s="34"/>
      <x:c r="G104" s="34"/>
      <x:c r="H104" s="81"/>
      <x:c r="I104" s="34"/>
      <x:c r="J104" s="34"/>
      <x:c r="K104" s="79"/>
      <x:c r="L104" s="34"/>
      <x:c r="M104" s="34"/>
      <x:c r="N104" s="34"/>
      <x:c r="O104" s="34"/>
      <x:c r="P104" s="35"/>
    </x:row>
    <x:row r="105">
      <x:c r="A105" s="34"/>
      <x:c r="B105" s="172"/>
      <x:c r="C105" s="34"/>
      <x:c r="D105" s="34"/>
      <x:c r="E105" s="34"/>
      <x:c r="F105" s="34"/>
      <x:c r="G105" s="34"/>
      <x:c r="H105" s="81"/>
      <x:c r="I105" s="34"/>
      <x:c r="J105" s="34"/>
      <x:c r="K105" s="79"/>
      <x:c r="L105" s="34"/>
      <x:c r="M105" s="34"/>
      <x:c r="N105" s="34"/>
      <x:c r="O105" s="34"/>
      <x:c r="P105" s="35"/>
    </x:row>
    <x:row r="106">
      <x:c r="A106" s="34"/>
      <x:c r="B106" s="172"/>
      <x:c r="C106" s="34"/>
      <x:c r="D106" s="34"/>
      <x:c r="E106" s="34"/>
      <x:c r="F106" s="34"/>
      <x:c r="G106" s="34"/>
      <x:c r="H106" s="81"/>
      <x:c r="I106" s="34"/>
      <x:c r="J106" s="34"/>
      <x:c r="K106" s="79"/>
      <x:c r="L106" s="34"/>
      <x:c r="M106" s="34"/>
      <x:c r="N106" s="34"/>
      <x:c r="O106" s="34"/>
      <x:c r="P106" s="35"/>
    </x:row>
    <x:row r="107">
      <x:c r="A107" s="34"/>
      <x:c r="B107" s="172"/>
      <x:c r="C107" s="34"/>
      <x:c r="D107" s="34"/>
      <x:c r="E107" s="34"/>
      <x:c r="F107" s="34"/>
      <x:c r="G107" s="34"/>
      <x:c r="H107" s="81"/>
      <x:c r="I107" s="34"/>
      <x:c r="J107" s="34"/>
      <x:c r="K107" s="79"/>
      <x:c r="L107" s="34"/>
      <x:c r="M107" s="34"/>
      <x:c r="N107" s="34"/>
      <x:c r="O107" s="34"/>
      <x:c r="P107" s="35"/>
    </x:row>
    <x:row r="108">
      <x:c r="A108" s="34"/>
      <x:c r="B108" s="172"/>
      <x:c r="C108" s="34"/>
      <x:c r="D108" s="34"/>
      <x:c r="E108" s="34"/>
      <x:c r="F108" s="34"/>
      <x:c r="G108" s="34"/>
      <x:c r="H108" s="81"/>
      <x:c r="I108" s="34"/>
      <x:c r="J108" s="34"/>
      <x:c r="K108" s="79"/>
      <x:c r="L108" s="34"/>
      <x:c r="M108" s="34"/>
      <x:c r="N108" s="34"/>
      <x:c r="O108" s="34"/>
      <x:c r="P108" s="35"/>
    </x:row>
    <x:row r="109">
      <x:c r="A109" s="34"/>
      <x:c r="B109" s="172"/>
      <x:c r="C109" s="34"/>
      <x:c r="D109" s="34"/>
      <x:c r="E109" s="34"/>
      <x:c r="F109" s="34"/>
      <x:c r="G109" s="34"/>
      <x:c r="H109" s="81"/>
      <x:c r="I109" s="34"/>
      <x:c r="J109" s="34"/>
      <x:c r="K109" s="79"/>
      <x:c r="L109" s="34"/>
      <x:c r="M109" s="34"/>
      <x:c r="N109" s="34"/>
      <x:c r="O109" s="34"/>
      <x:c r="P109" s="35"/>
    </x:row>
    <x:row r="110">
      <x:c r="A110" s="34"/>
      <x:c r="B110" s="172"/>
      <x:c r="C110" s="34"/>
      <x:c r="D110" s="34"/>
      <x:c r="E110" s="34"/>
      <x:c r="F110" s="34"/>
      <x:c r="G110" s="34"/>
      <x:c r="H110" s="81"/>
      <x:c r="I110" s="34"/>
      <x:c r="J110" s="34"/>
      <x:c r="K110" s="79"/>
      <x:c r="L110" s="34"/>
      <x:c r="M110" s="34"/>
      <x:c r="N110" s="34"/>
      <x:c r="O110" s="34"/>
      <x:c r="P110" s="35"/>
    </x:row>
    <x:row r="111">
      <x:c r="A111" s="34"/>
      <x:c r="B111" s="172"/>
      <x:c r="C111" s="34"/>
      <x:c r="D111" s="34"/>
      <x:c r="E111" s="34"/>
      <x:c r="F111" s="34"/>
      <x:c r="G111" s="34"/>
      <x:c r="H111" s="81"/>
      <x:c r="I111" s="34"/>
      <x:c r="J111" s="34"/>
      <x:c r="K111" s="79"/>
      <x:c r="L111" s="34"/>
      <x:c r="M111" s="34"/>
      <x:c r="N111" s="34"/>
      <x:c r="O111" s="34"/>
      <x:c r="P111" s="35"/>
    </x:row>
    <x:row r="112">
      <x:c r="A112" s="34"/>
      <x:c r="B112" s="172"/>
      <x:c r="C112" s="34"/>
      <x:c r="D112" s="34"/>
      <x:c r="E112" s="34"/>
      <x:c r="F112" s="34"/>
      <x:c r="G112" s="34"/>
      <x:c r="H112" s="81"/>
      <x:c r="I112" s="34"/>
      <x:c r="J112" s="34"/>
      <x:c r="K112" s="79"/>
      <x:c r="L112" s="34"/>
      <x:c r="M112" s="34"/>
      <x:c r="N112" s="34"/>
      <x:c r="O112" s="34"/>
      <x:c r="P112" s="35"/>
    </x:row>
    <x:row r="113">
      <x:c r="A113" s="34"/>
      <x:c r="B113" s="172"/>
      <x:c r="C113" s="34"/>
      <x:c r="D113" s="34"/>
      <x:c r="E113" s="34"/>
      <x:c r="F113" s="34"/>
      <x:c r="G113" s="34"/>
      <x:c r="H113" s="81"/>
      <x:c r="I113" s="34"/>
      <x:c r="J113" s="34"/>
      <x:c r="K113" s="79"/>
      <x:c r="L113" s="34"/>
      <x:c r="M113" s="34"/>
      <x:c r="N113" s="34"/>
      <x:c r="O113" s="34"/>
      <x:c r="P113" s="35"/>
    </x:row>
    <x:row r="114">
      <x:c r="A114" s="34"/>
      <x:c r="B114" s="172"/>
      <x:c r="C114" s="34"/>
      <x:c r="D114" s="34"/>
      <x:c r="E114" s="34"/>
      <x:c r="F114" s="34"/>
      <x:c r="G114" s="34"/>
      <x:c r="H114" s="81"/>
      <x:c r="I114" s="34"/>
      <x:c r="J114" s="34"/>
      <x:c r="K114" s="79"/>
      <x:c r="L114" s="34"/>
      <x:c r="M114" s="34"/>
      <x:c r="N114" s="34"/>
      <x:c r="O114" s="34"/>
      <x:c r="P114" s="35"/>
    </x:row>
    <x:row r="115">
      <x:c r="A115" s="34"/>
      <x:c r="B115" s="172"/>
      <x:c r="C115" s="34"/>
      <x:c r="D115" s="34"/>
      <x:c r="E115" s="34"/>
      <x:c r="F115" s="34"/>
      <x:c r="G115" s="34"/>
      <x:c r="H115" s="81"/>
      <x:c r="I115" s="34"/>
      <x:c r="J115" s="34"/>
      <x:c r="K115" s="79"/>
      <x:c r="L115" s="34"/>
      <x:c r="M115" s="34"/>
      <x:c r="N115" s="34"/>
      <x:c r="O115" s="34"/>
      <x:c r="P115" s="35"/>
    </x:row>
    <x:row r="116">
      <x:c r="A116" s="34"/>
      <x:c r="B116" s="172"/>
      <x:c r="C116" s="34"/>
      <x:c r="D116" s="34"/>
      <x:c r="E116" s="34"/>
      <x:c r="F116" s="34"/>
      <x:c r="G116" s="34"/>
      <x:c r="H116" s="81"/>
      <x:c r="I116" s="34"/>
      <x:c r="J116" s="34"/>
      <x:c r="K116" s="79"/>
      <x:c r="L116" s="34"/>
      <x:c r="M116" s="34"/>
      <x:c r="N116" s="34"/>
      <x:c r="O116" s="34"/>
      <x:c r="P116" s="35"/>
    </x:row>
    <x:row r="117">
      <x:c r="A117" s="34"/>
      <x:c r="B117" s="172"/>
      <x:c r="C117" s="34"/>
      <x:c r="D117" s="34"/>
      <x:c r="E117" s="34"/>
      <x:c r="F117" s="34"/>
      <x:c r="G117" s="34"/>
      <x:c r="H117" s="81"/>
      <x:c r="I117" s="34"/>
      <x:c r="J117" s="34"/>
      <x:c r="K117" s="79"/>
      <x:c r="L117" s="34"/>
      <x:c r="M117" s="34"/>
      <x:c r="N117" s="34"/>
      <x:c r="O117" s="34"/>
      <x:c r="P117" s="35"/>
    </x:row>
    <x:row r="118">
      <x:c r="A118" s="34"/>
      <x:c r="B118" s="172"/>
      <x:c r="C118" s="34"/>
      <x:c r="D118" s="34"/>
      <x:c r="E118" s="34"/>
      <x:c r="F118" s="34"/>
      <x:c r="G118" s="34"/>
      <x:c r="H118" s="81"/>
      <x:c r="I118" s="34"/>
      <x:c r="J118" s="34"/>
      <x:c r="K118" s="79"/>
      <x:c r="L118" s="34"/>
      <x:c r="M118" s="34"/>
      <x:c r="N118" s="34"/>
      <x:c r="O118" s="34"/>
      <x:c r="P118" s="35"/>
    </x:row>
    <x:row r="119">
      <x:c r="A119" s="34"/>
      <x:c r="B119" s="172"/>
      <x:c r="C119" s="34"/>
      <x:c r="D119" s="34"/>
      <x:c r="E119" s="34"/>
      <x:c r="F119" s="34"/>
      <x:c r="G119" s="34"/>
      <x:c r="H119" s="81"/>
      <x:c r="I119" s="34"/>
      <x:c r="J119" s="34"/>
      <x:c r="K119" s="79"/>
      <x:c r="L119" s="34"/>
      <x:c r="M119" s="34"/>
      <x:c r="N119" s="34"/>
      <x:c r="O119" s="34"/>
      <x:c r="P119" s="35"/>
    </x:row>
    <x:row r="120">
      <x:c r="A120" s="34"/>
      <x:c r="B120" s="172"/>
      <x:c r="C120" s="34"/>
      <x:c r="D120" s="34"/>
      <x:c r="E120" s="34"/>
      <x:c r="F120" s="34"/>
      <x:c r="G120" s="34"/>
      <x:c r="H120" s="81"/>
      <x:c r="I120" s="34"/>
      <x:c r="J120" s="34"/>
      <x:c r="K120" s="79"/>
      <x:c r="L120" s="34"/>
      <x:c r="M120" s="34"/>
      <x:c r="N120" s="34"/>
      <x:c r="O120" s="34"/>
      <x:c r="P120" s="35"/>
    </x:row>
    <x:row r="121">
      <x:c r="A121" s="34"/>
      <x:c r="B121" s="172"/>
      <x:c r="C121" s="34"/>
      <x:c r="D121" s="34"/>
      <x:c r="E121" s="34"/>
      <x:c r="F121" s="34"/>
      <x:c r="G121" s="34"/>
      <x:c r="H121" s="81"/>
      <x:c r="I121" s="34"/>
      <x:c r="J121" s="34"/>
      <x:c r="K121" s="79"/>
      <x:c r="L121" s="34"/>
      <x:c r="M121" s="34"/>
      <x:c r="N121" s="34"/>
      <x:c r="O121" s="34"/>
      <x:c r="P121" s="35"/>
    </x:row>
    <x:row r="122">
      <x:c r="A122" s="34"/>
      <x:c r="B122" s="172"/>
      <x:c r="C122" s="34"/>
      <x:c r="D122" s="34"/>
      <x:c r="E122" s="34"/>
      <x:c r="F122" s="34"/>
      <x:c r="G122" s="34"/>
      <x:c r="H122" s="81"/>
      <x:c r="I122" s="34"/>
      <x:c r="J122" s="34"/>
      <x:c r="K122" s="79"/>
      <x:c r="L122" s="34"/>
      <x:c r="M122" s="34"/>
      <x:c r="N122" s="34"/>
      <x:c r="O122" s="34"/>
      <x:c r="P122" s="35"/>
    </x:row>
    <x:row r="123">
      <x:c r="A123" s="34"/>
      <x:c r="B123" s="172"/>
      <x:c r="C123" s="34"/>
      <x:c r="D123" s="34"/>
      <x:c r="E123" s="34"/>
      <x:c r="F123" s="34"/>
      <x:c r="G123" s="34"/>
      <x:c r="H123" s="81"/>
      <x:c r="I123" s="34"/>
      <x:c r="J123" s="34"/>
      <x:c r="K123" s="79"/>
      <x:c r="L123" s="34"/>
      <x:c r="M123" s="34"/>
      <x:c r="N123" s="34"/>
      <x:c r="O123" s="34"/>
      <x:c r="P123" s="35"/>
    </x:row>
    <x:row r="124">
      <x:c r="A124" s="34"/>
      <x:c r="B124" s="172"/>
      <x:c r="C124" s="34"/>
      <x:c r="D124" s="34"/>
      <x:c r="E124" s="34"/>
      <x:c r="F124" s="34"/>
      <x:c r="G124" s="34"/>
      <x:c r="H124" s="81"/>
      <x:c r="I124" s="34"/>
      <x:c r="J124" s="34"/>
      <x:c r="K124" s="79"/>
      <x:c r="L124" s="34"/>
      <x:c r="M124" s="34"/>
      <x:c r="N124" s="34"/>
      <x:c r="O124" s="34"/>
      <x:c r="P124" s="35"/>
    </x:row>
    <x:row r="125">
      <x:c r="A125" s="34"/>
      <x:c r="B125" s="172"/>
      <x:c r="C125" s="34"/>
      <x:c r="D125" s="34"/>
      <x:c r="E125" s="34"/>
      <x:c r="F125" s="34"/>
      <x:c r="G125" s="34"/>
      <x:c r="H125" s="81"/>
      <x:c r="I125" s="34"/>
      <x:c r="J125" s="34"/>
      <x:c r="K125" s="79"/>
      <x:c r="L125" s="34"/>
      <x:c r="M125" s="34"/>
      <x:c r="N125" s="34"/>
      <x:c r="O125" s="34"/>
      <x:c r="P125" s="35"/>
    </x:row>
    <x:row r="126">
      <x:c r="A126" s="34"/>
      <x:c r="B126" s="172"/>
      <x:c r="C126" s="34"/>
      <x:c r="D126" s="34"/>
      <x:c r="E126" s="34"/>
      <x:c r="F126" s="34"/>
      <x:c r="G126" s="34"/>
      <x:c r="H126" s="81"/>
      <x:c r="I126" s="34"/>
      <x:c r="J126" s="34"/>
      <x:c r="K126" s="79"/>
      <x:c r="L126" s="34"/>
      <x:c r="M126" s="34"/>
      <x:c r="N126" s="34"/>
      <x:c r="O126" s="34"/>
      <x:c r="P126" s="35"/>
    </x:row>
    <x:row r="127">
      <x:c r="A127" s="34"/>
      <x:c r="B127" s="172"/>
      <x:c r="C127" s="34"/>
      <x:c r="D127" s="34"/>
      <x:c r="E127" s="34"/>
      <x:c r="F127" s="34"/>
      <x:c r="G127" s="34"/>
      <x:c r="H127" s="81"/>
      <x:c r="I127" s="34"/>
      <x:c r="J127" s="34"/>
      <x:c r="K127" s="79"/>
      <x:c r="L127" s="34"/>
      <x:c r="M127" s="34"/>
      <x:c r="N127" s="34"/>
      <x:c r="O127" s="34"/>
      <x:c r="P127" s="35"/>
    </x:row>
    <x:row r="128">
      <x:c r="A128" s="34"/>
      <x:c r="B128" s="172"/>
      <x:c r="C128" s="34"/>
      <x:c r="D128" s="34"/>
      <x:c r="E128" s="34"/>
      <x:c r="F128" s="34"/>
      <x:c r="G128" s="34"/>
      <x:c r="H128" s="81"/>
      <x:c r="I128" s="34"/>
      <x:c r="J128" s="34"/>
      <x:c r="K128" s="79"/>
      <x:c r="L128" s="34"/>
      <x:c r="M128" s="34"/>
      <x:c r="N128" s="34"/>
      <x:c r="O128" s="34"/>
      <x:c r="P128" s="35"/>
    </x:row>
    <x:row r="129">
      <x:c r="A129" s="34"/>
      <x:c r="B129" s="172"/>
      <x:c r="C129" s="34"/>
      <x:c r="D129" s="34"/>
      <x:c r="E129" s="34"/>
      <x:c r="F129" s="34"/>
      <x:c r="G129" s="34"/>
      <x:c r="H129" s="81"/>
      <x:c r="I129" s="34"/>
      <x:c r="J129" s="34"/>
      <x:c r="K129" s="79"/>
      <x:c r="L129" s="34"/>
      <x:c r="M129" s="34"/>
      <x:c r="N129" s="34"/>
      <x:c r="O129" s="34"/>
      <x:c r="P129" s="35"/>
    </x:row>
    <x:row r="130">
      <x:c r="A130" s="34"/>
      <x:c r="B130" s="172"/>
      <x:c r="C130" s="34"/>
      <x:c r="D130" s="34"/>
      <x:c r="E130" s="34"/>
      <x:c r="F130" s="34"/>
      <x:c r="G130" s="34"/>
      <x:c r="H130" s="81"/>
      <x:c r="I130" s="34"/>
      <x:c r="J130" s="34"/>
      <x:c r="K130" s="79"/>
      <x:c r="L130" s="34"/>
      <x:c r="M130" s="34"/>
      <x:c r="N130" s="34"/>
      <x:c r="O130" s="34"/>
      <x:c r="P130" s="35"/>
    </x:row>
    <x:row r="131">
      <x:c r="A131" s="34"/>
      <x:c r="B131" s="172"/>
      <x:c r="C131" s="34"/>
      <x:c r="D131" s="34"/>
      <x:c r="E131" s="34"/>
      <x:c r="F131" s="34"/>
      <x:c r="G131" s="34"/>
      <x:c r="H131" s="81"/>
      <x:c r="I131" s="34"/>
      <x:c r="J131" s="34"/>
      <x:c r="K131" s="79"/>
      <x:c r="L131" s="34"/>
      <x:c r="M131" s="34"/>
      <x:c r="N131" s="34"/>
      <x:c r="O131" s="34"/>
      <x:c r="P131" s="35"/>
    </x:row>
    <x:row r="132">
      <x:c r="A132" s="34"/>
      <x:c r="B132" s="172"/>
      <x:c r="C132" s="34"/>
      <x:c r="D132" s="34"/>
      <x:c r="E132" s="34"/>
      <x:c r="F132" s="34"/>
      <x:c r="G132" s="34"/>
      <x:c r="H132" s="81"/>
      <x:c r="I132" s="34"/>
      <x:c r="J132" s="34"/>
      <x:c r="K132" s="79"/>
      <x:c r="L132" s="34"/>
      <x:c r="M132" s="34"/>
      <x:c r="N132" s="34"/>
      <x:c r="O132" s="34"/>
      <x:c r="P132" s="35"/>
    </x:row>
    <x:row r="133">
      <x:c r="A133" s="34"/>
      <x:c r="B133" s="172"/>
      <x:c r="C133" s="34"/>
      <x:c r="D133" s="34"/>
      <x:c r="E133" s="34"/>
      <x:c r="F133" s="34"/>
      <x:c r="G133" s="34"/>
      <x:c r="H133" s="81"/>
      <x:c r="I133" s="34"/>
      <x:c r="J133" s="34"/>
      <x:c r="K133" s="79"/>
      <x:c r="L133" s="34"/>
      <x:c r="M133" s="34"/>
      <x:c r="N133" s="34"/>
      <x:c r="O133" s="34"/>
      <x:c r="P133" s="35"/>
    </x:row>
    <x:row r="134">
      <x:c r="A134" s="34"/>
      <x:c r="B134" s="172"/>
      <x:c r="C134" s="34"/>
      <x:c r="D134" s="34"/>
      <x:c r="E134" s="34"/>
      <x:c r="F134" s="34"/>
      <x:c r="G134" s="34"/>
      <x:c r="H134" s="81"/>
      <x:c r="I134" s="34"/>
      <x:c r="J134" s="34"/>
      <x:c r="K134" s="79"/>
      <x:c r="L134" s="34"/>
      <x:c r="M134" s="34"/>
      <x:c r="N134" s="34"/>
      <x:c r="O134" s="34"/>
      <x:c r="P134" s="35"/>
    </x:row>
    <x:row r="135">
      <x:c r="A135" s="34"/>
      <x:c r="B135" s="172"/>
      <x:c r="C135" s="34"/>
      <x:c r="D135" s="34"/>
      <x:c r="E135" s="34"/>
      <x:c r="F135" s="34"/>
      <x:c r="G135" s="34"/>
      <x:c r="H135" s="81"/>
      <x:c r="I135" s="34"/>
      <x:c r="J135" s="34"/>
      <x:c r="K135" s="79"/>
      <x:c r="L135" s="34"/>
      <x:c r="M135" s="34"/>
      <x:c r="N135" s="34"/>
      <x:c r="O135" s="34"/>
      <x:c r="P135" s="35"/>
    </x:row>
    <x:row r="136">
      <x:c r="A136" s="34"/>
      <x:c r="B136" s="172"/>
      <x:c r="C136" s="34"/>
      <x:c r="D136" s="34"/>
      <x:c r="E136" s="34"/>
      <x:c r="F136" s="34"/>
      <x:c r="G136" s="34"/>
      <x:c r="H136" s="81"/>
      <x:c r="I136" s="34"/>
      <x:c r="J136" s="34"/>
      <x:c r="K136" s="79"/>
      <x:c r="L136" s="34"/>
      <x:c r="M136" s="34"/>
      <x:c r="N136" s="34"/>
      <x:c r="O136" s="34"/>
      <x:c r="P136" s="35"/>
    </x:row>
    <x:row r="137">
      <x:c r="A137" s="34"/>
      <x:c r="B137" s="172"/>
      <x:c r="C137" s="34"/>
      <x:c r="D137" s="34"/>
      <x:c r="E137" s="34"/>
      <x:c r="F137" s="34"/>
      <x:c r="G137" s="34"/>
      <x:c r="H137" s="81"/>
      <x:c r="I137" s="34"/>
      <x:c r="J137" s="34"/>
      <x:c r="K137" s="79"/>
      <x:c r="L137" s="34"/>
      <x:c r="M137" s="34"/>
      <x:c r="N137" s="34"/>
      <x:c r="O137" s="34"/>
      <x:c r="P137" s="35"/>
    </x:row>
    <x:row r="138">
      <x:c r="A138" s="34"/>
      <x:c r="B138" s="172"/>
      <x:c r="C138" s="34"/>
      <x:c r="D138" s="34"/>
      <x:c r="E138" s="34"/>
      <x:c r="F138" s="34"/>
      <x:c r="G138" s="34"/>
      <x:c r="H138" s="81"/>
      <x:c r="I138" s="34"/>
      <x:c r="J138" s="34"/>
      <x:c r="K138" s="79"/>
      <x:c r="L138" s="34"/>
      <x:c r="M138" s="34"/>
      <x:c r="N138" s="34"/>
      <x:c r="O138" s="34"/>
      <x:c r="P138" s="35"/>
    </x:row>
    <x:row r="139">
      <x:c r="A139" s="34"/>
      <x:c r="B139" s="172"/>
      <x:c r="C139" s="34"/>
      <x:c r="D139" s="34"/>
      <x:c r="E139" s="34"/>
      <x:c r="F139" s="34"/>
      <x:c r="G139" s="34"/>
      <x:c r="H139" s="81"/>
      <x:c r="I139" s="34"/>
      <x:c r="J139" s="34"/>
      <x:c r="K139" s="79"/>
      <x:c r="L139" s="34"/>
      <x:c r="M139" s="34"/>
      <x:c r="N139" s="34"/>
      <x:c r="O139" s="34"/>
      <x:c r="P139" s="35"/>
    </x:row>
    <x:row r="140">
      <x:c r="A140" s="34"/>
      <x:c r="B140" s="172"/>
      <x:c r="C140" s="34"/>
      <x:c r="D140" s="34"/>
      <x:c r="E140" s="34"/>
      <x:c r="F140" s="34"/>
      <x:c r="G140" s="34"/>
      <x:c r="H140" s="81"/>
      <x:c r="I140" s="34"/>
      <x:c r="J140" s="34"/>
      <x:c r="K140" s="79"/>
      <x:c r="L140" s="34"/>
      <x:c r="M140" s="34"/>
      <x:c r="N140" s="34"/>
      <x:c r="O140" s="34"/>
      <x:c r="P140" s="35"/>
    </x:row>
    <x:row r="141">
      <x:c r="A141" s="34"/>
      <x:c r="B141" s="172"/>
      <x:c r="C141" s="34"/>
      <x:c r="D141" s="34"/>
      <x:c r="E141" s="34"/>
      <x:c r="F141" s="34"/>
      <x:c r="G141" s="34"/>
      <x:c r="H141" s="81"/>
      <x:c r="I141" s="34"/>
      <x:c r="J141" s="34"/>
      <x:c r="K141" s="79"/>
      <x:c r="L141" s="34"/>
      <x:c r="M141" s="34"/>
      <x:c r="N141" s="34"/>
      <x:c r="O141" s="34"/>
      <x:c r="P141" s="35"/>
    </x:row>
    <x:row r="142">
      <x:c r="A142" s="34"/>
      <x:c r="B142" s="172"/>
      <x:c r="C142" s="34"/>
      <x:c r="D142" s="34"/>
      <x:c r="E142" s="34"/>
      <x:c r="F142" s="34"/>
      <x:c r="G142" s="34"/>
      <x:c r="H142" s="81"/>
      <x:c r="I142" s="34"/>
      <x:c r="J142" s="34"/>
      <x:c r="K142" s="79"/>
      <x:c r="L142" s="34"/>
      <x:c r="M142" s="34"/>
      <x:c r="N142" s="34"/>
      <x:c r="O142" s="34"/>
      <x:c r="P142" s="35"/>
    </x:row>
    <x:row r="143">
      <x:c r="A143" s="34"/>
      <x:c r="B143" s="172"/>
      <x:c r="C143" s="34"/>
      <x:c r="D143" s="34"/>
      <x:c r="E143" s="34"/>
      <x:c r="F143" s="34"/>
      <x:c r="G143" s="34"/>
      <x:c r="H143" s="81"/>
      <x:c r="I143" s="34"/>
      <x:c r="J143" s="34"/>
      <x:c r="K143" s="79"/>
      <x:c r="L143" s="34"/>
      <x:c r="M143" s="34"/>
      <x:c r="N143" s="34"/>
      <x:c r="O143" s="34"/>
      <x:c r="P143" s="35"/>
    </x:row>
    <x:row r="144">
      <x:c r="A144" s="34"/>
      <x:c r="B144" s="172"/>
      <x:c r="C144" s="34"/>
      <x:c r="D144" s="34"/>
      <x:c r="E144" s="34"/>
      <x:c r="F144" s="34"/>
      <x:c r="G144" s="34"/>
      <x:c r="H144" s="81"/>
      <x:c r="I144" s="34"/>
      <x:c r="J144" s="34"/>
      <x:c r="K144" s="79"/>
      <x:c r="L144" s="34"/>
      <x:c r="M144" s="34"/>
      <x:c r="N144" s="34"/>
      <x:c r="O144" s="34"/>
      <x:c r="P144" s="35"/>
    </x:row>
    <x:row r="145">
      <x:c r="A145" s="34"/>
      <x:c r="B145" s="172"/>
      <x:c r="C145" s="34"/>
      <x:c r="D145" s="34"/>
      <x:c r="E145" s="34"/>
      <x:c r="F145" s="34"/>
      <x:c r="G145" s="34"/>
      <x:c r="H145" s="81"/>
      <x:c r="I145" s="34"/>
      <x:c r="J145" s="34"/>
      <x:c r="K145" s="79"/>
      <x:c r="L145" s="34"/>
      <x:c r="M145" s="34"/>
      <x:c r="N145" s="34"/>
      <x:c r="O145" s="34"/>
      <x:c r="P145" s="35"/>
    </x:row>
    <x:row r="146">
      <x:c r="A146" s="34"/>
      <x:c r="B146" s="172"/>
      <x:c r="C146" s="34"/>
      <x:c r="D146" s="34"/>
      <x:c r="E146" s="34"/>
      <x:c r="F146" s="34"/>
      <x:c r="G146" s="34"/>
      <x:c r="H146" s="81"/>
      <x:c r="I146" s="34"/>
      <x:c r="J146" s="34"/>
      <x:c r="K146" s="79"/>
      <x:c r="L146" s="34"/>
      <x:c r="M146" s="34"/>
      <x:c r="N146" s="34"/>
      <x:c r="O146" s="34"/>
      <x:c r="P146" s="35"/>
    </x:row>
    <x:row r="147">
      <x:c r="A147" s="34"/>
      <x:c r="B147" s="172"/>
      <x:c r="C147" s="34"/>
      <x:c r="D147" s="34"/>
      <x:c r="E147" s="34"/>
      <x:c r="F147" s="34"/>
      <x:c r="G147" s="34"/>
      <x:c r="H147" s="81"/>
      <x:c r="I147" s="34"/>
      <x:c r="J147" s="34"/>
      <x:c r="K147" s="79"/>
      <x:c r="L147" s="34"/>
      <x:c r="M147" s="34"/>
      <x:c r="N147" s="34"/>
      <x:c r="O147" s="34"/>
      <x:c r="P147" s="35"/>
    </x:row>
    <x:row r="148">
      <x:c r="A148" s="34"/>
      <x:c r="B148" s="172"/>
      <x:c r="C148" s="34"/>
      <x:c r="D148" s="34"/>
      <x:c r="E148" s="34"/>
      <x:c r="F148" s="34"/>
      <x:c r="G148" s="34"/>
      <x:c r="H148" s="81"/>
      <x:c r="I148" s="34"/>
      <x:c r="J148" s="34"/>
      <x:c r="K148" s="79"/>
      <x:c r="L148" s="34"/>
      <x:c r="M148" s="34"/>
      <x:c r="N148" s="34"/>
      <x:c r="O148" s="34"/>
      <x:c r="P148" s="35"/>
    </x:row>
    <x:row r="149">
      <x:c r="A149" s="34"/>
      <x:c r="B149" s="172"/>
      <x:c r="C149" s="34"/>
      <x:c r="D149" s="34"/>
      <x:c r="E149" s="34"/>
      <x:c r="F149" s="34"/>
      <x:c r="G149" s="34"/>
      <x:c r="H149" s="81"/>
      <x:c r="I149" s="34"/>
      <x:c r="J149" s="34"/>
      <x:c r="K149" s="79"/>
      <x:c r="L149" s="34"/>
      <x:c r="M149" s="34"/>
      <x:c r="N149" s="34"/>
      <x:c r="O149" s="34"/>
      <x:c r="P149" s="35"/>
    </x:row>
    <x:row r="150">
      <x:c r="A150" s="34"/>
      <x:c r="B150" s="172"/>
      <x:c r="C150" s="34"/>
      <x:c r="D150" s="34"/>
      <x:c r="E150" s="34"/>
      <x:c r="F150" s="34"/>
      <x:c r="G150" s="34"/>
      <x:c r="H150" s="81"/>
      <x:c r="I150" s="34"/>
      <x:c r="J150" s="34"/>
      <x:c r="K150" s="79"/>
      <x:c r="L150" s="34"/>
      <x:c r="M150" s="34"/>
      <x:c r="N150" s="34"/>
      <x:c r="O150" s="34"/>
      <x:c r="P150" s="35"/>
    </x:row>
    <x:row r="151">
      <x:c r="A151" s="34"/>
      <x:c r="B151" s="172"/>
      <x:c r="C151" s="34"/>
      <x:c r="D151" s="34"/>
      <x:c r="E151" s="34"/>
      <x:c r="F151" s="34"/>
      <x:c r="G151" s="34"/>
      <x:c r="H151" s="81"/>
      <x:c r="I151" s="34"/>
      <x:c r="J151" s="34"/>
      <x:c r="K151" s="79"/>
      <x:c r="L151" s="34"/>
      <x:c r="M151" s="34"/>
      <x:c r="N151" s="34"/>
      <x:c r="O151" s="34"/>
      <x:c r="P151" s="35"/>
    </x:row>
    <x:row r="152">
      <x:c r="A152" s="34"/>
      <x:c r="B152" s="172"/>
      <x:c r="C152" s="34"/>
      <x:c r="D152" s="34"/>
      <x:c r="E152" s="34"/>
      <x:c r="F152" s="34"/>
      <x:c r="G152" s="34"/>
      <x:c r="H152" s="81"/>
      <x:c r="I152" s="34"/>
      <x:c r="J152" s="34"/>
      <x:c r="K152" s="79"/>
      <x:c r="L152" s="34"/>
      <x:c r="M152" s="34"/>
      <x:c r="N152" s="34"/>
      <x:c r="O152" s="34"/>
      <x:c r="P152" s="35"/>
    </x:row>
    <x:row r="153">
      <x:c r="A153" s="34"/>
      <x:c r="B153" s="172"/>
      <x:c r="C153" s="34"/>
      <x:c r="D153" s="34"/>
      <x:c r="E153" s="34"/>
      <x:c r="F153" s="34"/>
      <x:c r="G153" s="34"/>
      <x:c r="H153" s="81"/>
      <x:c r="I153" s="34"/>
      <x:c r="J153" s="34"/>
      <x:c r="K153" s="79"/>
      <x:c r="L153" s="34"/>
      <x:c r="M153" s="34"/>
      <x:c r="N153" s="34"/>
      <x:c r="O153" s="34"/>
      <x:c r="P153" s="35"/>
    </x:row>
    <x:row r="154">
      <x:c r="A154" s="34"/>
      <x:c r="B154" s="172"/>
      <x:c r="C154" s="34"/>
      <x:c r="D154" s="34"/>
      <x:c r="E154" s="34"/>
      <x:c r="F154" s="34"/>
      <x:c r="G154" s="34"/>
      <x:c r="H154" s="81"/>
      <x:c r="I154" s="34"/>
      <x:c r="J154" s="34"/>
      <x:c r="K154" s="79"/>
      <x:c r="L154" s="34"/>
      <x:c r="M154" s="34"/>
      <x:c r="N154" s="34"/>
      <x:c r="O154" s="34"/>
      <x:c r="P154" s="35"/>
    </x:row>
    <x:row r="155">
      <x:c r="A155" s="34"/>
      <x:c r="B155" s="172"/>
      <x:c r="C155" s="34"/>
      <x:c r="D155" s="34"/>
      <x:c r="E155" s="34"/>
      <x:c r="F155" s="34"/>
      <x:c r="G155" s="34"/>
      <x:c r="H155" s="81"/>
      <x:c r="I155" s="34"/>
      <x:c r="J155" s="34"/>
      <x:c r="K155" s="79"/>
      <x:c r="L155" s="34"/>
      <x:c r="M155" s="34"/>
      <x:c r="N155" s="34"/>
      <x:c r="O155" s="34"/>
      <x:c r="P155" s="35"/>
    </x:row>
    <x:row r="156">
      <x:c r="A156" s="34"/>
      <x:c r="B156" s="172"/>
      <x:c r="C156" s="34"/>
      <x:c r="D156" s="34"/>
      <x:c r="E156" s="34"/>
      <x:c r="F156" s="34"/>
      <x:c r="G156" s="34"/>
      <x:c r="H156" s="81"/>
      <x:c r="I156" s="34"/>
      <x:c r="J156" s="34"/>
      <x:c r="K156" s="79"/>
      <x:c r="L156" s="34"/>
      <x:c r="M156" s="34"/>
      <x:c r="N156" s="34"/>
      <x:c r="O156" s="34"/>
      <x:c r="P156" s="35"/>
    </x:row>
    <x:row r="157">
      <x:c r="A157" s="34"/>
      <x:c r="B157" s="172"/>
      <x:c r="C157" s="34"/>
      <x:c r="D157" s="34"/>
      <x:c r="E157" s="34"/>
      <x:c r="F157" s="34"/>
      <x:c r="G157" s="34"/>
      <x:c r="H157" s="81"/>
      <x:c r="I157" s="34"/>
      <x:c r="J157" s="34"/>
      <x:c r="K157" s="79"/>
      <x:c r="L157" s="34"/>
      <x:c r="M157" s="34"/>
      <x:c r="N157" s="34"/>
      <x:c r="O157" s="34"/>
      <x:c r="P157" s="35"/>
    </x:row>
    <x:row r="158">
      <x:c r="A158" s="34"/>
      <x:c r="B158" s="172"/>
      <x:c r="C158" s="34"/>
      <x:c r="D158" s="34"/>
      <x:c r="E158" s="34"/>
      <x:c r="F158" s="34"/>
      <x:c r="G158" s="34"/>
      <x:c r="H158" s="81"/>
      <x:c r="I158" s="34"/>
      <x:c r="J158" s="34"/>
      <x:c r="K158" s="79"/>
      <x:c r="L158" s="34"/>
      <x:c r="M158" s="34"/>
      <x:c r="N158" s="34"/>
      <x:c r="O158" s="34"/>
      <x:c r="P158" s="35"/>
    </x:row>
    <x:row r="159">
      <x:c r="A159" s="34"/>
      <x:c r="B159" s="172"/>
      <x:c r="C159" s="34"/>
      <x:c r="D159" s="34"/>
      <x:c r="E159" s="34"/>
      <x:c r="F159" s="34"/>
      <x:c r="G159" s="34"/>
      <x:c r="H159" s="81"/>
      <x:c r="I159" s="34"/>
      <x:c r="J159" s="34"/>
      <x:c r="K159" s="79"/>
      <x:c r="L159" s="34"/>
      <x:c r="M159" s="34"/>
      <x:c r="N159" s="34"/>
      <x:c r="O159" s="34"/>
      <x:c r="P159" s="35"/>
    </x:row>
    <x:row r="160">
      <x:c r="A160" s="34"/>
      <x:c r="B160" s="172"/>
      <x:c r="C160" s="34"/>
      <x:c r="D160" s="34"/>
      <x:c r="E160" s="34"/>
      <x:c r="F160" s="34"/>
      <x:c r="G160" s="34"/>
      <x:c r="H160" s="81"/>
      <x:c r="I160" s="34"/>
      <x:c r="J160" s="34"/>
      <x:c r="K160" s="79"/>
      <x:c r="L160" s="34"/>
      <x:c r="M160" s="34"/>
      <x:c r="N160" s="34"/>
      <x:c r="O160" s="34"/>
      <x:c r="P160" s="35"/>
    </x:row>
    <x:row r="161">
      <x:c r="A161" s="34"/>
      <x:c r="B161" s="172"/>
      <x:c r="C161" s="34"/>
      <x:c r="D161" s="34"/>
      <x:c r="E161" s="34"/>
      <x:c r="F161" s="34"/>
      <x:c r="G161" s="34"/>
      <x:c r="H161" s="81"/>
      <x:c r="I161" s="34"/>
      <x:c r="J161" s="34"/>
      <x:c r="K161" s="79"/>
      <x:c r="L161" s="34"/>
      <x:c r="M161" s="34"/>
      <x:c r="N161" s="34"/>
      <x:c r="O161" s="34"/>
      <x:c r="P161" s="35"/>
    </x:row>
    <x:row r="162">
      <x:c r="A162" s="34"/>
      <x:c r="B162" s="172"/>
      <x:c r="C162" s="34"/>
      <x:c r="D162" s="34"/>
      <x:c r="E162" s="34"/>
      <x:c r="F162" s="34"/>
      <x:c r="G162" s="34"/>
      <x:c r="H162" s="81"/>
      <x:c r="I162" s="34"/>
      <x:c r="J162" s="34"/>
      <x:c r="K162" s="79"/>
      <x:c r="L162" s="34"/>
      <x:c r="M162" s="34"/>
      <x:c r="N162" s="34"/>
      <x:c r="O162" s="34"/>
      <x:c r="P162" s="35"/>
    </x:row>
    <x:row r="163">
      <x:c r="A163" s="34"/>
      <x:c r="B163" s="172"/>
      <x:c r="C163" s="34"/>
      <x:c r="D163" s="34"/>
      <x:c r="E163" s="34"/>
      <x:c r="F163" s="34"/>
      <x:c r="G163" s="34"/>
      <x:c r="H163" s="81"/>
      <x:c r="I163" s="34"/>
      <x:c r="J163" s="34"/>
      <x:c r="K163" s="79"/>
      <x:c r="L163" s="34"/>
      <x:c r="M163" s="34"/>
      <x:c r="N163" s="34"/>
      <x:c r="O163" s="34"/>
      <x:c r="P163" s="35"/>
    </x:row>
    <x:row r="164">
      <x:c r="A164" s="34"/>
      <x:c r="B164" s="172"/>
      <x:c r="C164" s="34"/>
      <x:c r="D164" s="34"/>
      <x:c r="E164" s="34"/>
      <x:c r="F164" s="34"/>
      <x:c r="G164" s="34"/>
      <x:c r="H164" s="81"/>
      <x:c r="I164" s="34"/>
      <x:c r="J164" s="34"/>
      <x:c r="K164" s="79"/>
      <x:c r="L164" s="34"/>
      <x:c r="M164" s="34"/>
      <x:c r="N164" s="34"/>
      <x:c r="O164" s="34"/>
      <x:c r="P164" s="35"/>
    </x:row>
    <x:row r="165">
      <x:c r="A165" s="34"/>
      <x:c r="B165" s="172"/>
      <x:c r="C165" s="34"/>
      <x:c r="D165" s="34"/>
      <x:c r="E165" s="34"/>
      <x:c r="F165" s="34"/>
      <x:c r="G165" s="34"/>
      <x:c r="H165" s="81"/>
      <x:c r="I165" s="34"/>
      <x:c r="J165" s="34"/>
      <x:c r="K165" s="79"/>
      <x:c r="L165" s="34"/>
      <x:c r="M165" s="34"/>
      <x:c r="N165" s="34"/>
      <x:c r="O165" s="34"/>
      <x:c r="P165" s="35"/>
    </x:row>
    <x:row r="166">
      <x:c r="A166" s="34"/>
      <x:c r="B166" s="172"/>
      <x:c r="C166" s="34"/>
      <x:c r="D166" s="34"/>
      <x:c r="E166" s="34"/>
      <x:c r="F166" s="34"/>
      <x:c r="G166" s="34"/>
      <x:c r="H166" s="81"/>
      <x:c r="I166" s="34"/>
      <x:c r="J166" s="34"/>
      <x:c r="K166" s="79"/>
      <x:c r="L166" s="34"/>
      <x:c r="M166" s="34"/>
      <x:c r="N166" s="34"/>
      <x:c r="O166" s="34"/>
      <x:c r="P166" s="35"/>
    </x:row>
    <x:row r="167">
      <x:c r="A167" s="34"/>
      <x:c r="B167" s="172"/>
      <x:c r="C167" s="34"/>
      <x:c r="D167" s="34"/>
      <x:c r="E167" s="34"/>
      <x:c r="F167" s="34"/>
      <x:c r="G167" s="34"/>
      <x:c r="H167" s="81"/>
      <x:c r="I167" s="34"/>
      <x:c r="J167" s="34"/>
      <x:c r="K167" s="79"/>
      <x:c r="L167" s="34"/>
      <x:c r="M167" s="34"/>
      <x:c r="N167" s="34"/>
      <x:c r="O167" s="34"/>
      <x:c r="P167" s="35"/>
    </x:row>
    <x:row r="168">
      <x:c r="A168" s="34"/>
      <x:c r="B168" s="172"/>
      <x:c r="C168" s="34"/>
      <x:c r="D168" s="34"/>
      <x:c r="E168" s="34"/>
      <x:c r="F168" s="34"/>
      <x:c r="G168" s="34"/>
      <x:c r="H168" s="81"/>
      <x:c r="I168" s="34"/>
      <x:c r="J168" s="34"/>
      <x:c r="K168" s="79"/>
      <x:c r="L168" s="34"/>
      <x:c r="M168" s="34"/>
      <x:c r="N168" s="34"/>
      <x:c r="O168" s="34"/>
      <x:c r="P168" s="35"/>
    </x:row>
    <x:row r="169">
      <x:c r="A169" s="34"/>
      <x:c r="B169" s="172"/>
      <x:c r="C169" s="34"/>
      <x:c r="D169" s="34"/>
      <x:c r="E169" s="34"/>
      <x:c r="F169" s="34"/>
      <x:c r="G169" s="34"/>
      <x:c r="H169" s="81"/>
      <x:c r="I169" s="34"/>
      <x:c r="J169" s="34"/>
      <x:c r="K169" s="79"/>
      <x:c r="L169" s="34"/>
      <x:c r="M169" s="34"/>
      <x:c r="N169" s="34"/>
      <x:c r="O169" s="34"/>
      <x:c r="P169" s="35"/>
    </x:row>
    <x:row r="170">
      <x:c r="A170" s="34"/>
      <x:c r="B170" s="172"/>
      <x:c r="C170" s="34"/>
      <x:c r="D170" s="34"/>
      <x:c r="E170" s="34"/>
      <x:c r="F170" s="34"/>
      <x:c r="G170" s="34"/>
      <x:c r="H170" s="81"/>
      <x:c r="I170" s="34"/>
      <x:c r="J170" s="34"/>
      <x:c r="K170" s="79"/>
      <x:c r="L170" s="34"/>
      <x:c r="M170" s="34"/>
      <x:c r="N170" s="34"/>
      <x:c r="O170" s="34"/>
      <x:c r="P170" s="35"/>
    </x:row>
    <x:row r="171">
      <x:c r="A171" s="34"/>
      <x:c r="B171" s="172"/>
      <x:c r="C171" s="34"/>
      <x:c r="D171" s="34"/>
      <x:c r="E171" s="34"/>
      <x:c r="F171" s="34"/>
      <x:c r="G171" s="34"/>
      <x:c r="H171" s="81"/>
      <x:c r="I171" s="34"/>
      <x:c r="J171" s="34"/>
      <x:c r="K171" s="79"/>
      <x:c r="L171" s="34"/>
      <x:c r="M171" s="34"/>
      <x:c r="N171" s="34"/>
      <x:c r="O171" s="34"/>
      <x:c r="P171" s="35"/>
    </x:row>
    <x:row r="172">
      <x:c r="A172" s="34"/>
      <x:c r="B172" s="172"/>
      <x:c r="C172" s="34"/>
      <x:c r="D172" s="34"/>
      <x:c r="E172" s="34"/>
      <x:c r="F172" s="34"/>
      <x:c r="G172" s="34"/>
      <x:c r="H172" s="81"/>
      <x:c r="I172" s="34"/>
      <x:c r="J172" s="34"/>
      <x:c r="K172" s="79"/>
      <x:c r="L172" s="34"/>
      <x:c r="M172" s="34"/>
      <x:c r="N172" s="34"/>
      <x:c r="O172" s="34"/>
      <x:c r="P172" s="35"/>
    </x:row>
    <x:row r="173">
      <x:c r="A173" s="34"/>
      <x:c r="B173" s="172"/>
      <x:c r="C173" s="34"/>
      <x:c r="D173" s="34"/>
      <x:c r="E173" s="34"/>
      <x:c r="F173" s="34"/>
      <x:c r="G173" s="34"/>
      <x:c r="H173" s="81"/>
      <x:c r="I173" s="34"/>
      <x:c r="J173" s="34"/>
      <x:c r="K173" s="79"/>
      <x:c r="L173" s="34"/>
      <x:c r="M173" s="34"/>
      <x:c r="N173" s="34"/>
      <x:c r="O173" s="34"/>
      <x:c r="P173" s="35"/>
    </x:row>
    <x:row r="174">
      <x:c r="A174" s="34"/>
      <x:c r="B174" s="172"/>
      <x:c r="C174" s="34"/>
      <x:c r="D174" s="34"/>
      <x:c r="E174" s="34"/>
      <x:c r="F174" s="34"/>
      <x:c r="G174" s="34"/>
      <x:c r="H174" s="81"/>
      <x:c r="I174" s="34"/>
      <x:c r="J174" s="34"/>
      <x:c r="K174" s="79"/>
      <x:c r="L174" s="34"/>
      <x:c r="M174" s="34"/>
      <x:c r="N174" s="34"/>
      <x:c r="O174" s="34"/>
      <x:c r="P174" s="35"/>
    </x:row>
    <x:row r="175">
      <x:c r="A175" s="34"/>
      <x:c r="B175" s="172"/>
      <x:c r="C175" s="34"/>
      <x:c r="D175" s="34"/>
      <x:c r="E175" s="34"/>
      <x:c r="F175" s="34"/>
      <x:c r="G175" s="34"/>
      <x:c r="H175" s="81"/>
      <x:c r="I175" s="34"/>
      <x:c r="J175" s="34"/>
      <x:c r="K175" s="79"/>
      <x:c r="L175" s="34"/>
      <x:c r="M175" s="34"/>
      <x:c r="N175" s="34"/>
      <x:c r="O175" s="34"/>
      <x:c r="P175" s="35"/>
    </x:row>
    <x:row r="176">
      <x:c r="A176" s="34"/>
      <x:c r="B176" s="172"/>
      <x:c r="C176" s="34"/>
      <x:c r="D176" s="34"/>
      <x:c r="E176" s="34"/>
      <x:c r="F176" s="34"/>
      <x:c r="G176" s="34"/>
      <x:c r="H176" s="81"/>
      <x:c r="I176" s="34"/>
      <x:c r="J176" s="34"/>
      <x:c r="K176" s="79"/>
      <x:c r="L176" s="34"/>
      <x:c r="M176" s="34"/>
      <x:c r="N176" s="34"/>
      <x:c r="O176" s="34"/>
      <x:c r="P176" s="35"/>
    </x:row>
    <x:row r="177">
      <x:c r="A177" s="34"/>
      <x:c r="B177" s="172"/>
      <x:c r="C177" s="34"/>
      <x:c r="D177" s="34"/>
      <x:c r="E177" s="34"/>
      <x:c r="F177" s="34"/>
      <x:c r="G177" s="34"/>
      <x:c r="H177" s="81"/>
      <x:c r="I177" s="34"/>
      <x:c r="J177" s="34"/>
      <x:c r="K177" s="79"/>
      <x:c r="L177" s="34"/>
      <x:c r="M177" s="34"/>
      <x:c r="N177" s="34"/>
      <x:c r="O177" s="34"/>
      <x:c r="P177" s="35"/>
    </x:row>
    <x:row r="178">
      <x:c r="A178" s="34"/>
      <x:c r="B178" s="172"/>
      <x:c r="C178" s="34"/>
      <x:c r="D178" s="34"/>
      <x:c r="E178" s="34"/>
      <x:c r="F178" s="34"/>
      <x:c r="G178" s="34"/>
      <x:c r="H178" s="81"/>
      <x:c r="I178" s="34"/>
      <x:c r="J178" s="34"/>
      <x:c r="K178" s="79"/>
      <x:c r="L178" s="34"/>
      <x:c r="M178" s="34"/>
      <x:c r="N178" s="34"/>
      <x:c r="O178" s="34"/>
      <x:c r="P178" s="35"/>
    </x:row>
    <x:row r="179">
      <x:c r="A179" s="34"/>
      <x:c r="B179" s="172"/>
      <x:c r="C179" s="34"/>
      <x:c r="D179" s="34"/>
      <x:c r="E179" s="34"/>
      <x:c r="F179" s="34"/>
      <x:c r="G179" s="34"/>
      <x:c r="H179" s="81"/>
      <x:c r="I179" s="34"/>
      <x:c r="J179" s="34"/>
      <x:c r="K179" s="79"/>
      <x:c r="L179" s="34"/>
      <x:c r="M179" s="34"/>
      <x:c r="N179" s="34"/>
      <x:c r="O179" s="34"/>
      <x:c r="P179" s="35"/>
    </x:row>
    <x:row r="180">
      <x:c r="A180" s="34"/>
      <x:c r="B180" s="172"/>
      <x:c r="C180" s="34"/>
      <x:c r="D180" s="34"/>
      <x:c r="E180" s="34"/>
      <x:c r="F180" s="34"/>
      <x:c r="G180" s="34"/>
      <x:c r="H180" s="81"/>
      <x:c r="I180" s="34"/>
      <x:c r="J180" s="34"/>
      <x:c r="K180" s="79"/>
      <x:c r="L180" s="34"/>
      <x:c r="M180" s="34"/>
      <x:c r="N180" s="34"/>
      <x:c r="O180" s="34"/>
      <x:c r="P180" s="35"/>
    </x:row>
    <x:row r="181">
      <x:c r="A181" s="34"/>
      <x:c r="B181" s="172"/>
      <x:c r="C181" s="34"/>
      <x:c r="D181" s="34"/>
      <x:c r="E181" s="34"/>
      <x:c r="F181" s="34"/>
      <x:c r="G181" s="34"/>
      <x:c r="H181" s="81"/>
      <x:c r="I181" s="34"/>
      <x:c r="J181" s="34"/>
      <x:c r="K181" s="79"/>
      <x:c r="L181" s="34"/>
      <x:c r="M181" s="34"/>
      <x:c r="N181" s="34"/>
      <x:c r="O181" s="34"/>
      <x:c r="P181" s="35"/>
    </x:row>
    <x:row r="182">
      <x:c r="A182" s="34"/>
      <x:c r="B182" s="172"/>
      <x:c r="C182" s="34"/>
      <x:c r="D182" s="34"/>
      <x:c r="E182" s="34"/>
      <x:c r="F182" s="34"/>
      <x:c r="G182" s="34"/>
      <x:c r="H182" s="81"/>
      <x:c r="I182" s="34"/>
      <x:c r="J182" s="34"/>
      <x:c r="K182" s="79"/>
      <x:c r="L182" s="34"/>
      <x:c r="M182" s="34"/>
      <x:c r="N182" s="34"/>
      <x:c r="O182" s="34"/>
      <x:c r="P182" s="35"/>
    </x:row>
    <x:row r="183">
      <x:c r="A183" s="34"/>
      <x:c r="B183" s="172"/>
      <x:c r="C183" s="34"/>
      <x:c r="D183" s="34"/>
      <x:c r="E183" s="34"/>
      <x:c r="F183" s="34"/>
      <x:c r="G183" s="34"/>
      <x:c r="H183" s="81"/>
      <x:c r="I183" s="34"/>
      <x:c r="J183" s="34"/>
      <x:c r="K183" s="79"/>
      <x:c r="L183" s="34"/>
      <x:c r="M183" s="34"/>
      <x:c r="N183" s="34"/>
      <x:c r="O183" s="34"/>
      <x:c r="P183" s="35"/>
    </x:row>
    <x:row r="184">
      <x:c r="A184" s="34"/>
      <x:c r="B184" s="172"/>
      <x:c r="C184" s="34"/>
      <x:c r="D184" s="34"/>
      <x:c r="E184" s="34"/>
      <x:c r="F184" s="34"/>
      <x:c r="G184" s="34"/>
      <x:c r="H184" s="81"/>
      <x:c r="I184" s="34"/>
      <x:c r="J184" s="34"/>
      <x:c r="K184" s="79"/>
      <x:c r="L184" s="34"/>
      <x:c r="M184" s="34"/>
      <x:c r="N184" s="34"/>
      <x:c r="O184" s="34"/>
      <x:c r="P184" s="35"/>
    </x:row>
    <x:row r="185">
      <x:c r="A185" s="34"/>
      <x:c r="B185" s="172"/>
      <x:c r="C185" s="34"/>
      <x:c r="D185" s="34"/>
      <x:c r="E185" s="34"/>
      <x:c r="F185" s="34"/>
      <x:c r="G185" s="34"/>
      <x:c r="H185" s="81"/>
      <x:c r="I185" s="34"/>
      <x:c r="J185" s="34"/>
      <x:c r="K185" s="79"/>
      <x:c r="L185" s="34"/>
      <x:c r="M185" s="34"/>
      <x:c r="N185" s="34"/>
      <x:c r="O185" s="34"/>
      <x:c r="P185" s="35"/>
    </x:row>
    <x:row r="186">
      <x:c r="A186" s="34"/>
      <x:c r="B186" s="172"/>
      <x:c r="C186" s="34"/>
      <x:c r="D186" s="34"/>
      <x:c r="E186" s="34"/>
      <x:c r="F186" s="34"/>
      <x:c r="G186" s="34"/>
      <x:c r="H186" s="81"/>
      <x:c r="I186" s="34"/>
      <x:c r="J186" s="34"/>
      <x:c r="K186" s="79"/>
      <x:c r="L186" s="34"/>
      <x:c r="M186" s="34"/>
      <x:c r="N186" s="34"/>
      <x:c r="O186" s="34"/>
      <x:c r="P186" s="35"/>
    </x:row>
    <x:row r="187">
      <x:c r="A187" s="34"/>
      <x:c r="B187" s="172"/>
      <x:c r="C187" s="34"/>
      <x:c r="D187" s="34"/>
      <x:c r="E187" s="34"/>
      <x:c r="F187" s="34"/>
      <x:c r="G187" s="34"/>
      <x:c r="H187" s="81"/>
      <x:c r="I187" s="34"/>
      <x:c r="J187" s="34"/>
      <x:c r="K187" s="79"/>
      <x:c r="L187" s="34"/>
      <x:c r="M187" s="34"/>
      <x:c r="N187" s="34"/>
      <x:c r="O187" s="34"/>
      <x:c r="P187" s="35"/>
    </x:row>
    <x:row r="188">
      <x:c r="A188" s="34"/>
      <x:c r="B188" s="172"/>
      <x:c r="C188" s="34"/>
      <x:c r="D188" s="34"/>
      <x:c r="E188" s="34"/>
      <x:c r="F188" s="34"/>
      <x:c r="G188" s="34"/>
      <x:c r="H188" s="81"/>
      <x:c r="I188" s="34"/>
      <x:c r="J188" s="34"/>
      <x:c r="K188" s="79"/>
      <x:c r="L188" s="34"/>
      <x:c r="M188" s="34"/>
      <x:c r="N188" s="34"/>
      <x:c r="O188" s="34"/>
      <x:c r="P188" s="35"/>
    </x:row>
    <x:row r="189">
      <x:c r="A189" s="34"/>
      <x:c r="B189" s="172"/>
      <x:c r="C189" s="34"/>
      <x:c r="D189" s="34"/>
      <x:c r="E189" s="34"/>
      <x:c r="F189" s="34"/>
      <x:c r="G189" s="34"/>
      <x:c r="H189" s="81"/>
      <x:c r="I189" s="34"/>
      <x:c r="J189" s="34"/>
      <x:c r="K189" s="79"/>
      <x:c r="L189" s="34"/>
      <x:c r="M189" s="34"/>
      <x:c r="N189" s="34"/>
      <x:c r="O189" s="34"/>
      <x:c r="P189" s="35"/>
    </x:row>
    <x:row r="190">
      <x:c r="A190" s="34"/>
      <x:c r="B190" s="172"/>
      <x:c r="C190" s="34"/>
      <x:c r="D190" s="34"/>
      <x:c r="E190" s="34"/>
      <x:c r="F190" s="34"/>
      <x:c r="G190" s="34"/>
      <x:c r="H190" s="81"/>
      <x:c r="I190" s="34"/>
      <x:c r="J190" s="34"/>
      <x:c r="K190" s="79"/>
      <x:c r="L190" s="34"/>
      <x:c r="M190" s="34"/>
      <x:c r="N190" s="34"/>
      <x:c r="O190" s="34"/>
      <x:c r="P190" s="35"/>
    </x:row>
    <x:row r="191">
      <x:c r="A191" s="34"/>
      <x:c r="B191" s="172"/>
      <x:c r="C191" s="34"/>
      <x:c r="D191" s="34"/>
      <x:c r="E191" s="34"/>
      <x:c r="F191" s="34"/>
      <x:c r="G191" s="34"/>
      <x:c r="H191" s="81"/>
      <x:c r="I191" s="34"/>
      <x:c r="J191" s="34"/>
      <x:c r="K191" s="79"/>
      <x:c r="L191" s="34"/>
      <x:c r="M191" s="34"/>
      <x:c r="N191" s="34"/>
      <x:c r="O191" s="34"/>
      <x:c r="P191" s="35"/>
    </x:row>
    <x:row r="192">
      <x:c r="A192" s="34"/>
      <x:c r="B192" s="172"/>
      <x:c r="C192" s="34"/>
      <x:c r="D192" s="34"/>
      <x:c r="E192" s="34"/>
      <x:c r="F192" s="34"/>
      <x:c r="G192" s="34"/>
      <x:c r="H192" s="81"/>
      <x:c r="I192" s="34"/>
      <x:c r="J192" s="34"/>
      <x:c r="K192" s="79"/>
      <x:c r="L192" s="34"/>
      <x:c r="M192" s="34"/>
      <x:c r="N192" s="34"/>
      <x:c r="O192" s="34"/>
      <x:c r="P192" s="35"/>
    </x:row>
    <x:row r="193">
      <x:c r="A193" s="34"/>
      <x:c r="B193" s="172"/>
      <x:c r="C193" s="34"/>
      <x:c r="D193" s="34"/>
      <x:c r="E193" s="34"/>
      <x:c r="F193" s="34"/>
      <x:c r="G193" s="34"/>
      <x:c r="H193" s="81"/>
      <x:c r="I193" s="34"/>
      <x:c r="J193" s="34"/>
      <x:c r="K193" s="79"/>
      <x:c r="L193" s="34"/>
      <x:c r="M193" s="34"/>
      <x:c r="N193" s="34"/>
      <x:c r="O193" s="34"/>
      <x:c r="P193" s="35"/>
    </x:row>
    <x:row r="194">
      <x:c r="A194" s="34"/>
      <x:c r="B194" s="172"/>
      <x:c r="C194" s="34"/>
      <x:c r="D194" s="34"/>
      <x:c r="E194" s="34"/>
      <x:c r="F194" s="34"/>
      <x:c r="G194" s="34"/>
      <x:c r="H194" s="81"/>
      <x:c r="I194" s="34"/>
      <x:c r="J194" s="34"/>
      <x:c r="K194" s="79"/>
      <x:c r="L194" s="34"/>
      <x:c r="M194" s="34"/>
      <x:c r="N194" s="34"/>
      <x:c r="O194" s="34"/>
      <x:c r="P194" s="35"/>
    </x:row>
    <x:row r="195">
      <x:c r="A195" s="34"/>
      <x:c r="B195" s="172"/>
      <x:c r="C195" s="34"/>
      <x:c r="D195" s="34"/>
      <x:c r="E195" s="34"/>
      <x:c r="F195" s="34"/>
      <x:c r="G195" s="34"/>
      <x:c r="H195" s="81"/>
      <x:c r="I195" s="34"/>
      <x:c r="J195" s="34"/>
      <x:c r="K195" s="79"/>
      <x:c r="L195" s="34"/>
      <x:c r="M195" s="34"/>
      <x:c r="N195" s="34"/>
      <x:c r="O195" s="34"/>
      <x:c r="P195" s="35"/>
    </x:row>
    <x:row r="196">
      <x:c r="A196" s="34"/>
      <x:c r="B196" s="172"/>
      <x:c r="C196" s="34"/>
      <x:c r="D196" s="34"/>
      <x:c r="E196" s="34"/>
      <x:c r="F196" s="34"/>
      <x:c r="G196" s="34"/>
      <x:c r="H196" s="81"/>
      <x:c r="I196" s="34"/>
      <x:c r="J196" s="34"/>
      <x:c r="K196" s="79"/>
      <x:c r="L196" s="34"/>
      <x:c r="M196" s="34"/>
      <x:c r="N196" s="34"/>
      <x:c r="O196" s="34"/>
      <x:c r="P196" s="35"/>
    </x:row>
    <x:row r="197">
      <x:c r="A197" s="34"/>
      <x:c r="B197" s="172"/>
      <x:c r="C197" s="34"/>
      <x:c r="D197" s="34"/>
      <x:c r="E197" s="34"/>
      <x:c r="F197" s="34"/>
      <x:c r="G197" s="34"/>
      <x:c r="H197" s="81"/>
      <x:c r="I197" s="34"/>
      <x:c r="J197" s="34"/>
      <x:c r="K197" s="79"/>
      <x:c r="L197" s="34"/>
      <x:c r="M197" s="34"/>
      <x:c r="N197" s="34"/>
      <x:c r="O197" s="34"/>
      <x:c r="P197" s="35"/>
    </x:row>
    <x:row r="198">
      <x:c r="A198" s="34"/>
      <x:c r="B198" s="172"/>
      <x:c r="C198" s="34"/>
      <x:c r="D198" s="34"/>
      <x:c r="E198" s="34"/>
      <x:c r="F198" s="34"/>
      <x:c r="G198" s="34"/>
      <x:c r="H198" s="81"/>
      <x:c r="I198" s="34"/>
      <x:c r="J198" s="34"/>
      <x:c r="K198" s="79"/>
      <x:c r="L198" s="34"/>
      <x:c r="M198" s="34"/>
      <x:c r="N198" s="34"/>
      <x:c r="O198" s="34"/>
      <x:c r="P198" s="35"/>
    </x:row>
    <x:row r="199">
      <x:c r="A199" s="34"/>
      <x:c r="B199" s="172"/>
      <x:c r="C199" s="34"/>
      <x:c r="D199" s="34"/>
      <x:c r="E199" s="34"/>
      <x:c r="F199" s="34"/>
      <x:c r="G199" s="34"/>
      <x:c r="H199" s="81"/>
      <x:c r="I199" s="34"/>
      <x:c r="J199" s="34"/>
      <x:c r="K199" s="79"/>
      <x:c r="L199" s="34"/>
      <x:c r="M199" s="34"/>
      <x:c r="N199" s="34"/>
      <x:c r="O199" s="34"/>
      <x:c r="P199" s="35"/>
    </x:row>
    <x:row r="200">
      <x:c r="A200" s="34"/>
      <x:c r="B200" s="172"/>
      <x:c r="C200" s="34"/>
      <x:c r="D200" s="34"/>
      <x:c r="E200" s="34"/>
      <x:c r="F200" s="34"/>
      <x:c r="G200" s="34"/>
      <x:c r="H200" s="81"/>
      <x:c r="I200" s="34"/>
      <x:c r="J200" s="34"/>
      <x:c r="K200" s="79"/>
      <x:c r="L200" s="34"/>
      <x:c r="M200" s="34"/>
      <x:c r="N200" s="34"/>
      <x:c r="O200" s="34"/>
      <x:c r="P200" s="35"/>
    </x:row>
    <x:row r="201">
      <x:c r="A201" s="34"/>
      <x:c r="B201" s="172"/>
      <x:c r="C201" s="34"/>
      <x:c r="D201" s="34"/>
      <x:c r="E201" s="34"/>
      <x:c r="F201" s="34"/>
      <x:c r="G201" s="34"/>
      <x:c r="H201" s="81"/>
      <x:c r="I201" s="34"/>
      <x:c r="J201" s="34"/>
      <x:c r="K201" s="79"/>
      <x:c r="L201" s="34"/>
      <x:c r="M201" s="34"/>
      <x:c r="N201" s="34"/>
      <x:c r="O201" s="34"/>
      <x:c r="P201" s="35"/>
    </x:row>
    <x:row r="202">
      <x:c r="A202" s="34"/>
      <x:c r="B202" s="172"/>
      <x:c r="C202" s="34"/>
      <x:c r="D202" s="34"/>
      <x:c r="E202" s="34"/>
      <x:c r="F202" s="34"/>
      <x:c r="G202" s="34"/>
      <x:c r="H202" s="81"/>
      <x:c r="I202" s="34"/>
      <x:c r="J202" s="34"/>
      <x:c r="K202" s="79"/>
      <x:c r="L202" s="34"/>
      <x:c r="M202" s="34"/>
      <x:c r="N202" s="34"/>
      <x:c r="O202" s="34"/>
      <x:c r="P202" s="35"/>
    </x:row>
    <x:row r="203">
      <x:c r="A203" s="34"/>
      <x:c r="B203" s="172"/>
      <x:c r="C203" s="34"/>
      <x:c r="D203" s="34"/>
      <x:c r="E203" s="34"/>
      <x:c r="F203" s="34"/>
      <x:c r="G203" s="34"/>
      <x:c r="H203" s="81"/>
      <x:c r="I203" s="34"/>
      <x:c r="J203" s="34"/>
      <x:c r="K203" s="79"/>
      <x:c r="L203" s="34"/>
      <x:c r="M203" s="34"/>
      <x:c r="N203" s="34"/>
      <x:c r="O203" s="34"/>
      <x:c r="P203" s="35"/>
    </x:row>
    <x:row r="204">
      <x:c r="A204" s="34"/>
      <x:c r="B204" s="172"/>
      <x:c r="C204" s="34"/>
      <x:c r="D204" s="34"/>
      <x:c r="E204" s="34"/>
      <x:c r="F204" s="34"/>
      <x:c r="G204" s="34"/>
      <x:c r="H204" s="81"/>
      <x:c r="I204" s="34"/>
      <x:c r="J204" s="34"/>
      <x:c r="K204" s="79"/>
      <x:c r="L204" s="34"/>
      <x:c r="M204" s="34"/>
      <x:c r="N204" s="34"/>
      <x:c r="O204" s="34"/>
      <x:c r="P204" s="35"/>
    </x:row>
    <x:row r="205">
      <x:c r="A205" s="34"/>
      <x:c r="B205" s="172"/>
      <x:c r="C205" s="34"/>
      <x:c r="D205" s="34"/>
      <x:c r="E205" s="34"/>
      <x:c r="F205" s="34"/>
      <x:c r="G205" s="34"/>
      <x:c r="H205" s="81"/>
      <x:c r="I205" s="34"/>
      <x:c r="J205" s="34"/>
      <x:c r="K205" s="79"/>
      <x:c r="L205" s="34"/>
      <x:c r="M205" s="34"/>
      <x:c r="N205" s="34"/>
      <x:c r="O205" s="34"/>
      <x:c r="P205" s="35"/>
    </x:row>
    <x:row r="206">
      <x:c r="A206" s="34"/>
      <x:c r="B206" s="172"/>
      <x:c r="C206" s="34"/>
      <x:c r="D206" s="34"/>
      <x:c r="E206" s="34"/>
      <x:c r="F206" s="34"/>
      <x:c r="G206" s="34"/>
      <x:c r="H206" s="81"/>
      <x:c r="I206" s="34"/>
      <x:c r="J206" s="34"/>
      <x:c r="K206" s="79"/>
      <x:c r="L206" s="34"/>
      <x:c r="M206" s="34"/>
      <x:c r="N206" s="34"/>
      <x:c r="O206" s="34"/>
      <x:c r="P206" s="35"/>
    </x:row>
    <x:row r="207">
      <x:c r="A207" s="34"/>
      <x:c r="B207" s="172"/>
      <x:c r="C207" s="34"/>
      <x:c r="D207" s="34"/>
      <x:c r="E207" s="34"/>
      <x:c r="F207" s="34"/>
      <x:c r="G207" s="34"/>
      <x:c r="H207" s="81"/>
      <x:c r="I207" s="34"/>
      <x:c r="J207" s="34"/>
      <x:c r="K207" s="79"/>
      <x:c r="L207" s="34"/>
      <x:c r="M207" s="34"/>
      <x:c r="N207" s="34"/>
      <x:c r="O207" s="34"/>
      <x:c r="P207" s="35"/>
    </x:row>
    <x:row r="208">
      <x:c r="A208" s="34"/>
      <x:c r="B208" s="172"/>
      <x:c r="C208" s="34"/>
      <x:c r="D208" s="34"/>
      <x:c r="E208" s="34"/>
      <x:c r="F208" s="34"/>
      <x:c r="G208" s="34"/>
      <x:c r="H208" s="81"/>
      <x:c r="I208" s="34"/>
      <x:c r="J208" s="34"/>
      <x:c r="K208" s="79"/>
      <x:c r="L208" s="34"/>
      <x:c r="M208" s="34"/>
      <x:c r="N208" s="34"/>
      <x:c r="O208" s="34"/>
      <x:c r="P208" s="35"/>
    </x:row>
    <x:row r="209">
      <x:c r="A209" s="34"/>
      <x:c r="B209" s="172"/>
      <x:c r="C209" s="34"/>
      <x:c r="D209" s="34"/>
      <x:c r="E209" s="34"/>
      <x:c r="F209" s="34"/>
      <x:c r="G209" s="34"/>
      <x:c r="H209" s="81"/>
      <x:c r="I209" s="34"/>
      <x:c r="J209" s="34"/>
      <x:c r="K209" s="79"/>
      <x:c r="L209" s="34"/>
      <x:c r="M209" s="34"/>
      <x:c r="N209" s="34"/>
      <x:c r="O209" s="34"/>
      <x:c r="P209" s="35"/>
    </x:row>
    <x:row r="210">
      <x:c r="A210" s="34"/>
      <x:c r="B210" s="172"/>
      <x:c r="C210" s="34"/>
      <x:c r="D210" s="34"/>
      <x:c r="E210" s="34"/>
      <x:c r="F210" s="34"/>
      <x:c r="G210" s="34"/>
      <x:c r="H210" s="81"/>
      <x:c r="I210" s="34"/>
      <x:c r="J210" s="34"/>
      <x:c r="K210" s="79"/>
      <x:c r="L210" s="34"/>
      <x:c r="M210" s="34"/>
      <x:c r="N210" s="34"/>
      <x:c r="O210" s="34"/>
      <x:c r="P210" s="35"/>
    </x:row>
    <x:row r="211">
      <x:c r="A211" s="34"/>
      <x:c r="B211" s="172"/>
      <x:c r="C211" s="34"/>
      <x:c r="D211" s="34"/>
      <x:c r="E211" s="34"/>
      <x:c r="F211" s="34"/>
      <x:c r="G211" s="34"/>
      <x:c r="H211" s="81"/>
      <x:c r="I211" s="34"/>
      <x:c r="J211" s="34"/>
      <x:c r="K211" s="79"/>
      <x:c r="L211" s="34"/>
      <x:c r="M211" s="34"/>
      <x:c r="N211" s="34"/>
      <x:c r="O211" s="34"/>
      <x:c r="P211" s="35"/>
    </x:row>
    <x:row r="212">
      <x:c r="A212" s="34"/>
      <x:c r="B212" s="172"/>
      <x:c r="C212" s="34"/>
      <x:c r="D212" s="34"/>
      <x:c r="E212" s="34"/>
      <x:c r="F212" s="34"/>
      <x:c r="G212" s="34"/>
      <x:c r="H212" s="81"/>
      <x:c r="I212" s="34"/>
      <x:c r="J212" s="34"/>
      <x:c r="K212" s="79"/>
      <x:c r="L212" s="34"/>
      <x:c r="M212" s="34"/>
      <x:c r="N212" s="34"/>
      <x:c r="O212" s="34"/>
      <x:c r="P212" s="35"/>
    </x:row>
    <x:row r="213">
      <x:c r="A213" s="34"/>
      <x:c r="B213" s="172"/>
      <x:c r="C213" s="34"/>
      <x:c r="D213" s="34"/>
      <x:c r="E213" s="34"/>
      <x:c r="F213" s="34"/>
      <x:c r="G213" s="34"/>
      <x:c r="H213" s="81"/>
      <x:c r="I213" s="34"/>
      <x:c r="J213" s="34"/>
      <x:c r="K213" s="79"/>
      <x:c r="L213" s="34"/>
      <x:c r="M213" s="34"/>
      <x:c r="N213" s="34"/>
      <x:c r="O213" s="34"/>
      <x:c r="P213" s="35"/>
    </x:row>
    <x:row r="214">
      <x:c r="A214" s="34"/>
      <x:c r="B214" s="172"/>
      <x:c r="C214" s="34"/>
      <x:c r="D214" s="34"/>
      <x:c r="E214" s="34"/>
      <x:c r="F214" s="34"/>
      <x:c r="G214" s="34"/>
      <x:c r="H214" s="81"/>
      <x:c r="I214" s="34"/>
      <x:c r="J214" s="34"/>
      <x:c r="K214" s="79"/>
      <x:c r="L214" s="34"/>
      <x:c r="M214" s="34"/>
      <x:c r="N214" s="34"/>
      <x:c r="O214" s="34"/>
      <x:c r="P214" s="35"/>
    </x:row>
    <x:row r="215">
      <x:c r="A215" s="34"/>
      <x:c r="B215" s="172"/>
      <x:c r="C215" s="34"/>
      <x:c r="D215" s="34"/>
      <x:c r="E215" s="34"/>
      <x:c r="F215" s="34"/>
      <x:c r="G215" s="34"/>
      <x:c r="H215" s="81"/>
      <x:c r="I215" s="34"/>
      <x:c r="J215" s="34"/>
      <x:c r="K215" s="79"/>
      <x:c r="L215" s="34"/>
      <x:c r="M215" s="34"/>
      <x:c r="N215" s="34"/>
      <x:c r="O215" s="34"/>
      <x:c r="P215" s="35"/>
    </x:row>
    <x:row r="216">
      <x:c r="A216" s="34"/>
      <x:c r="B216" s="172"/>
      <x:c r="C216" s="34"/>
      <x:c r="D216" s="34"/>
      <x:c r="E216" s="34"/>
      <x:c r="F216" s="34"/>
      <x:c r="G216" s="34"/>
      <x:c r="H216" s="81"/>
      <x:c r="I216" s="34"/>
      <x:c r="J216" s="34"/>
      <x:c r="K216" s="79"/>
      <x:c r="L216" s="34"/>
      <x:c r="M216" s="34"/>
      <x:c r="N216" s="34"/>
      <x:c r="O216" s="34"/>
      <x:c r="P216" s="35"/>
    </x:row>
    <x:row r="217">
      <x:c r="A217" s="34"/>
      <x:c r="B217" s="172"/>
      <x:c r="C217" s="34"/>
      <x:c r="D217" s="34"/>
      <x:c r="E217" s="34"/>
      <x:c r="F217" s="34"/>
      <x:c r="G217" s="34"/>
      <x:c r="H217" s="81"/>
      <x:c r="I217" s="34"/>
      <x:c r="J217" s="34"/>
      <x:c r="K217" s="79"/>
      <x:c r="L217" s="34"/>
      <x:c r="M217" s="34"/>
      <x:c r="N217" s="34"/>
      <x:c r="O217" s="34"/>
      <x:c r="P217" s="35"/>
    </x:row>
    <x:row r="218">
      <x:c r="A218" s="34"/>
      <x:c r="B218" s="172"/>
      <x:c r="C218" s="34"/>
      <x:c r="D218" s="34"/>
      <x:c r="E218" s="34"/>
      <x:c r="F218" s="34"/>
      <x:c r="G218" s="34"/>
      <x:c r="H218" s="81"/>
      <x:c r="I218" s="34"/>
      <x:c r="J218" s="34"/>
      <x:c r="K218" s="79"/>
      <x:c r="L218" s="34"/>
      <x:c r="M218" s="34"/>
      <x:c r="N218" s="34"/>
      <x:c r="O218" s="34"/>
      <x:c r="P218" s="35"/>
    </x:row>
    <x:row r="219">
      <x:c r="A219" s="34"/>
      <x:c r="B219" s="172"/>
      <x:c r="C219" s="34"/>
      <x:c r="D219" s="34"/>
      <x:c r="E219" s="34"/>
      <x:c r="F219" s="34"/>
      <x:c r="G219" s="34"/>
      <x:c r="H219" s="81"/>
      <x:c r="I219" s="34"/>
      <x:c r="J219" s="34"/>
      <x:c r="K219" s="79"/>
      <x:c r="L219" s="34"/>
      <x:c r="M219" s="34"/>
      <x:c r="N219" s="34"/>
      <x:c r="O219" s="34"/>
      <x:c r="P219" s="35"/>
    </x:row>
    <x:row r="220">
      <x:c r="A220" s="34"/>
      <x:c r="B220" s="172"/>
      <x:c r="C220" s="34"/>
      <x:c r="D220" s="34"/>
      <x:c r="E220" s="34"/>
      <x:c r="F220" s="34"/>
      <x:c r="G220" s="34"/>
      <x:c r="H220" s="81"/>
      <x:c r="I220" s="34"/>
      <x:c r="J220" s="34"/>
      <x:c r="K220" s="79"/>
      <x:c r="L220" s="34"/>
      <x:c r="M220" s="34"/>
      <x:c r="N220" s="34"/>
      <x:c r="O220" s="34"/>
      <x:c r="P220" s="35"/>
    </x:row>
    <x:row r="221">
      <x:c r="A221" s="34"/>
      <x:c r="B221" s="172"/>
      <x:c r="C221" s="34"/>
      <x:c r="D221" s="34"/>
      <x:c r="E221" s="34"/>
      <x:c r="F221" s="34"/>
      <x:c r="G221" s="34"/>
      <x:c r="H221" s="81"/>
      <x:c r="I221" s="34"/>
      <x:c r="J221" s="34"/>
      <x:c r="K221" s="79"/>
      <x:c r="L221" s="34"/>
      <x:c r="M221" s="34"/>
      <x:c r="N221" s="34"/>
      <x:c r="O221" s="34"/>
      <x:c r="P221" s="35"/>
    </x:row>
    <x:row r="222">
      <x:c r="A222" s="34"/>
      <x:c r="B222" s="172"/>
      <x:c r="C222" s="34"/>
      <x:c r="D222" s="34"/>
      <x:c r="E222" s="34"/>
      <x:c r="F222" s="34"/>
      <x:c r="G222" s="34"/>
      <x:c r="H222" s="81"/>
      <x:c r="I222" s="34"/>
      <x:c r="J222" s="34"/>
      <x:c r="K222" s="79"/>
      <x:c r="L222" s="34"/>
      <x:c r="M222" s="34"/>
      <x:c r="N222" s="34"/>
      <x:c r="O222" s="34"/>
      <x:c r="P222" s="35"/>
    </x:row>
    <x:row r="223">
      <x:c r="A223" s="34"/>
      <x:c r="B223" s="172"/>
      <x:c r="C223" s="34"/>
      <x:c r="D223" s="34"/>
      <x:c r="E223" s="34"/>
      <x:c r="F223" s="34"/>
      <x:c r="G223" s="34"/>
      <x:c r="H223" s="81"/>
      <x:c r="I223" s="34"/>
      <x:c r="J223" s="34"/>
      <x:c r="K223" s="79"/>
      <x:c r="L223" s="34"/>
      <x:c r="M223" s="34"/>
      <x:c r="N223" s="34"/>
      <x:c r="O223" s="34"/>
      <x:c r="P223" s="35"/>
    </x:row>
    <x:row r="224">
      <x:c r="A224" s="34"/>
      <x:c r="B224" s="172"/>
      <x:c r="C224" s="34"/>
      <x:c r="D224" s="34"/>
      <x:c r="E224" s="34"/>
      <x:c r="F224" s="34"/>
      <x:c r="G224" s="34"/>
      <x:c r="H224" s="81"/>
      <x:c r="I224" s="34"/>
      <x:c r="J224" s="34"/>
      <x:c r="K224" s="79"/>
      <x:c r="L224" s="34"/>
      <x:c r="M224" s="34"/>
      <x:c r="N224" s="34"/>
      <x:c r="O224" s="34"/>
      <x:c r="P224" s="35"/>
    </x:row>
    <x:row r="225">
      <x:c r="A225" s="34"/>
      <x:c r="B225" s="172"/>
      <x:c r="C225" s="34"/>
      <x:c r="D225" s="34"/>
      <x:c r="E225" s="34"/>
      <x:c r="F225" s="34"/>
      <x:c r="G225" s="34"/>
      <x:c r="H225" s="81"/>
      <x:c r="I225" s="34"/>
      <x:c r="J225" s="34"/>
      <x:c r="K225" s="79"/>
      <x:c r="L225" s="34"/>
      <x:c r="M225" s="34"/>
      <x:c r="N225" s="34"/>
      <x:c r="O225" s="34"/>
      <x:c r="P225" s="35"/>
    </x:row>
    <x:row r="226">
      <x:c r="A226" s="34"/>
      <x:c r="B226" s="172"/>
      <x:c r="C226" s="34"/>
      <x:c r="D226" s="34"/>
      <x:c r="E226" s="34"/>
      <x:c r="F226" s="34"/>
      <x:c r="G226" s="34"/>
      <x:c r="H226" s="81"/>
      <x:c r="I226" s="34"/>
      <x:c r="J226" s="34"/>
      <x:c r="K226" s="79"/>
      <x:c r="L226" s="34"/>
      <x:c r="M226" s="34"/>
      <x:c r="N226" s="34"/>
      <x:c r="O226" s="34"/>
      <x:c r="P226" s="35"/>
    </x:row>
    <x:row r="227">
      <x:c r="A227" s="34"/>
      <x:c r="B227" s="172"/>
      <x:c r="C227" s="34"/>
      <x:c r="D227" s="34"/>
      <x:c r="E227" s="34"/>
      <x:c r="F227" s="34"/>
      <x:c r="G227" s="34"/>
      <x:c r="H227" s="81"/>
      <x:c r="I227" s="34"/>
      <x:c r="J227" s="34"/>
      <x:c r="K227" s="79"/>
      <x:c r="L227" s="34"/>
      <x:c r="M227" s="34"/>
      <x:c r="N227" s="34"/>
      <x:c r="O227" s="34"/>
      <x:c r="P227" s="35"/>
    </x:row>
    <x:row r="228">
      <x:c r="A228" s="34"/>
      <x:c r="B228" s="172"/>
      <x:c r="C228" s="34"/>
      <x:c r="D228" s="34"/>
      <x:c r="E228" s="34"/>
      <x:c r="F228" s="34"/>
      <x:c r="G228" s="34"/>
      <x:c r="H228" s="81"/>
      <x:c r="I228" s="34"/>
      <x:c r="J228" s="34"/>
      <x:c r="K228" s="79"/>
      <x:c r="L228" s="34"/>
      <x:c r="M228" s="34"/>
      <x:c r="N228" s="34"/>
      <x:c r="O228" s="34"/>
      <x:c r="P228" s="35"/>
    </x:row>
    <x:row r="229">
      <x:c r="A229" s="34"/>
      <x:c r="B229" s="172"/>
      <x:c r="C229" s="34"/>
      <x:c r="D229" s="34"/>
      <x:c r="E229" s="34"/>
      <x:c r="F229" s="34"/>
      <x:c r="G229" s="34"/>
      <x:c r="H229" s="81"/>
      <x:c r="I229" s="34"/>
      <x:c r="J229" s="34"/>
      <x:c r="K229" s="79"/>
      <x:c r="L229" s="34"/>
      <x:c r="M229" s="34"/>
      <x:c r="N229" s="34"/>
      <x:c r="O229" s="34"/>
      <x:c r="P229" s="35"/>
    </x:row>
    <x:row r="230">
      <x:c r="A230" s="34"/>
      <x:c r="B230" s="172"/>
      <x:c r="C230" s="34"/>
      <x:c r="D230" s="34"/>
      <x:c r="E230" s="34"/>
      <x:c r="F230" s="34"/>
      <x:c r="G230" s="34"/>
      <x:c r="H230" s="81"/>
      <x:c r="I230" s="34"/>
      <x:c r="J230" s="34"/>
      <x:c r="K230" s="79"/>
      <x:c r="L230" s="34"/>
      <x:c r="M230" s="34"/>
      <x:c r="N230" s="34"/>
      <x:c r="O230" s="34"/>
      <x:c r="P230" s="35"/>
    </x:row>
    <x:row r="231">
      <x:c r="A231" s="34"/>
      <x:c r="B231" s="172"/>
      <x:c r="C231" s="34"/>
      <x:c r="D231" s="34"/>
      <x:c r="E231" s="34"/>
      <x:c r="F231" s="34"/>
      <x:c r="G231" s="34"/>
      <x:c r="H231" s="81"/>
      <x:c r="I231" s="34"/>
      <x:c r="J231" s="34"/>
      <x:c r="K231" s="79"/>
      <x:c r="L231" s="34"/>
      <x:c r="M231" s="34"/>
      <x:c r="N231" s="34"/>
      <x:c r="O231" s="34"/>
      <x:c r="P231" s="35"/>
    </x:row>
    <x:row r="232">
      <x:c r="A232" s="34"/>
      <x:c r="B232" s="172"/>
      <x:c r="C232" s="34"/>
      <x:c r="D232" s="34"/>
      <x:c r="E232" s="34"/>
      <x:c r="F232" s="34"/>
      <x:c r="G232" s="34"/>
      <x:c r="H232" s="81"/>
      <x:c r="I232" s="34"/>
      <x:c r="J232" s="34"/>
      <x:c r="K232" s="79"/>
      <x:c r="L232" s="34"/>
      <x:c r="M232" s="34"/>
      <x:c r="N232" s="34"/>
      <x:c r="O232" s="34"/>
      <x:c r="P232" s="35"/>
    </x:row>
    <x:row r="233">
      <x:c r="A233" s="34"/>
      <x:c r="B233" s="172"/>
      <x:c r="C233" s="34"/>
      <x:c r="D233" s="34"/>
      <x:c r="E233" s="34"/>
      <x:c r="F233" s="34"/>
      <x:c r="G233" s="34"/>
      <x:c r="H233" s="81"/>
      <x:c r="I233" s="34"/>
      <x:c r="J233" s="34"/>
      <x:c r="K233" s="79"/>
      <x:c r="L233" s="34"/>
      <x:c r="M233" s="34"/>
      <x:c r="N233" s="34"/>
      <x:c r="O233" s="34"/>
      <x:c r="P233" s="35"/>
    </x:row>
    <x:row r="234">
      <x:c r="A234" s="34"/>
      <x:c r="B234" s="172"/>
      <x:c r="C234" s="34"/>
      <x:c r="D234" s="34"/>
      <x:c r="E234" s="34"/>
      <x:c r="F234" s="34"/>
      <x:c r="G234" s="34"/>
      <x:c r="H234" s="81"/>
      <x:c r="I234" s="34"/>
      <x:c r="J234" s="34"/>
      <x:c r="K234" s="79"/>
      <x:c r="L234" s="34"/>
      <x:c r="M234" s="34"/>
      <x:c r="N234" s="34"/>
      <x:c r="O234" s="34"/>
      <x:c r="P234" s="35"/>
    </x:row>
    <x:row r="235">
      <x:c r="A235" s="34"/>
      <x:c r="B235" s="172"/>
      <x:c r="C235" s="34"/>
      <x:c r="D235" s="34"/>
      <x:c r="E235" s="34"/>
      <x:c r="F235" s="34"/>
      <x:c r="G235" s="34"/>
      <x:c r="H235" s="81"/>
      <x:c r="I235" s="34"/>
      <x:c r="J235" s="34"/>
      <x:c r="K235" s="79"/>
      <x:c r="L235" s="34"/>
      <x:c r="M235" s="34"/>
      <x:c r="N235" s="34"/>
      <x:c r="O235" s="34"/>
      <x:c r="P235" s="35"/>
    </x:row>
    <x:row r="236">
      <x:c r="A236" s="34"/>
      <x:c r="B236" s="172"/>
      <x:c r="C236" s="34"/>
      <x:c r="D236" s="34"/>
      <x:c r="E236" s="34"/>
      <x:c r="F236" s="34"/>
      <x:c r="G236" s="34"/>
      <x:c r="H236" s="81"/>
      <x:c r="I236" s="34"/>
      <x:c r="J236" s="34"/>
      <x:c r="K236" s="79"/>
      <x:c r="L236" s="34"/>
      <x:c r="M236" s="34"/>
      <x:c r="N236" s="34"/>
      <x:c r="O236" s="34"/>
      <x:c r="P236" s="35"/>
    </x:row>
    <x:row r="237">
      <x:c r="A237" s="34"/>
      <x:c r="B237" s="172"/>
      <x:c r="C237" s="34"/>
      <x:c r="D237" s="34"/>
      <x:c r="E237" s="34"/>
      <x:c r="F237" s="34"/>
      <x:c r="G237" s="34"/>
      <x:c r="H237" s="81"/>
      <x:c r="I237" s="34"/>
      <x:c r="J237" s="34"/>
      <x:c r="K237" s="79"/>
      <x:c r="L237" s="34"/>
      <x:c r="M237" s="34"/>
      <x:c r="N237" s="34"/>
      <x:c r="O237" s="34"/>
      <x:c r="P237" s="35"/>
    </x:row>
    <x:row r="238">
      <x:c r="A238" s="34"/>
      <x:c r="B238" s="172"/>
      <x:c r="C238" s="34"/>
      <x:c r="D238" s="34"/>
      <x:c r="E238" s="34"/>
      <x:c r="F238" s="34"/>
      <x:c r="G238" s="34"/>
      <x:c r="H238" s="81"/>
      <x:c r="I238" s="34"/>
      <x:c r="J238" s="34"/>
      <x:c r="K238" s="79"/>
      <x:c r="L238" s="34"/>
      <x:c r="M238" s="34"/>
      <x:c r="N238" s="34"/>
      <x:c r="O238" s="34"/>
      <x:c r="P238" s="35"/>
    </x:row>
    <x:row r="239">
      <x:c r="A239" s="34"/>
      <x:c r="B239" s="172"/>
      <x:c r="C239" s="34"/>
      <x:c r="D239" s="34"/>
      <x:c r="E239" s="34"/>
      <x:c r="F239" s="34"/>
      <x:c r="G239" s="34"/>
      <x:c r="H239" s="81"/>
      <x:c r="I239" s="34"/>
      <x:c r="J239" s="34"/>
      <x:c r="K239" s="79"/>
      <x:c r="L239" s="34"/>
      <x:c r="M239" s="34"/>
      <x:c r="N239" s="34"/>
      <x:c r="O239" s="34"/>
      <x:c r="P239" s="35"/>
    </x:row>
    <x:row r="240">
      <x:c r="A240" s="34"/>
      <x:c r="B240" s="172"/>
      <x:c r="C240" s="34"/>
      <x:c r="D240" s="34"/>
      <x:c r="E240" s="34"/>
      <x:c r="F240" s="34"/>
      <x:c r="G240" s="34"/>
      <x:c r="H240" s="81"/>
      <x:c r="I240" s="34"/>
      <x:c r="J240" s="34"/>
      <x:c r="K240" s="79"/>
      <x:c r="L240" s="34"/>
      <x:c r="M240" s="34"/>
      <x:c r="N240" s="34"/>
      <x:c r="O240" s="34"/>
      <x:c r="P240" s="35"/>
    </x:row>
    <x:row r="241">
      <x:c r="A241" s="34"/>
      <x:c r="B241" s="172"/>
      <x:c r="C241" s="34"/>
      <x:c r="D241" s="34"/>
      <x:c r="E241" s="34"/>
      <x:c r="F241" s="34"/>
      <x:c r="G241" s="34"/>
      <x:c r="H241" s="81"/>
      <x:c r="I241" s="34"/>
      <x:c r="J241" s="34"/>
      <x:c r="K241" s="79"/>
      <x:c r="L241" s="34"/>
      <x:c r="M241" s="34"/>
      <x:c r="N241" s="34"/>
      <x:c r="O241" s="34"/>
      <x:c r="P241" s="35"/>
    </x:row>
    <x:row r="242">
      <x:c r="A242" s="34"/>
      <x:c r="B242" s="172"/>
      <x:c r="C242" s="34"/>
      <x:c r="D242" s="34"/>
      <x:c r="E242" s="34"/>
      <x:c r="F242" s="34"/>
      <x:c r="G242" s="34"/>
      <x:c r="H242" s="81"/>
      <x:c r="I242" s="34"/>
      <x:c r="J242" s="34"/>
      <x:c r="K242" s="79"/>
      <x:c r="L242" s="34"/>
      <x:c r="M242" s="34"/>
      <x:c r="N242" s="34"/>
      <x:c r="O242" s="34"/>
      <x:c r="P242" s="35"/>
    </x:row>
    <x:row r="243">
      <x:c r="A243" s="34"/>
      <x:c r="B243" s="172"/>
      <x:c r="C243" s="34"/>
      <x:c r="D243" s="34"/>
      <x:c r="E243" s="34"/>
      <x:c r="F243" s="34"/>
      <x:c r="G243" s="34"/>
      <x:c r="H243" s="81"/>
      <x:c r="I243" s="34"/>
      <x:c r="J243" s="34"/>
      <x:c r="K243" s="79"/>
      <x:c r="L243" s="34"/>
      <x:c r="M243" s="34"/>
      <x:c r="N243" s="34"/>
      <x:c r="O243" s="34"/>
      <x:c r="P243" s="35"/>
    </x:row>
    <x:row r="244">
      <x:c r="A244" s="34"/>
      <x:c r="B244" s="172"/>
      <x:c r="C244" s="34"/>
      <x:c r="D244" s="34"/>
      <x:c r="E244" s="34"/>
      <x:c r="F244" s="34"/>
      <x:c r="G244" s="34"/>
      <x:c r="H244" s="81"/>
      <x:c r="I244" s="34"/>
      <x:c r="J244" s="34"/>
      <x:c r="K244" s="79"/>
      <x:c r="L244" s="34"/>
      <x:c r="M244" s="34"/>
      <x:c r="N244" s="34"/>
      <x:c r="O244" s="34"/>
      <x:c r="P244" s="35"/>
    </x:row>
    <x:row r="245">
      <x:c r="A245" s="34"/>
      <x:c r="B245" s="172"/>
      <x:c r="C245" s="34"/>
      <x:c r="D245" s="34"/>
      <x:c r="E245" s="34"/>
      <x:c r="F245" s="34"/>
      <x:c r="G245" s="34"/>
      <x:c r="H245" s="81"/>
      <x:c r="I245" s="34"/>
      <x:c r="J245" s="34"/>
      <x:c r="K245" s="79"/>
      <x:c r="L245" s="34"/>
      <x:c r="M245" s="34"/>
      <x:c r="N245" s="34"/>
      <x:c r="O245" s="34"/>
      <x:c r="P245" s="35"/>
    </x:row>
    <x:row r="246">
      <x:c r="A246" s="34"/>
      <x:c r="B246" s="172"/>
      <x:c r="C246" s="34"/>
      <x:c r="D246" s="34"/>
      <x:c r="E246" s="34"/>
      <x:c r="F246" s="34"/>
      <x:c r="G246" s="34"/>
      <x:c r="H246" s="81"/>
      <x:c r="I246" s="34"/>
      <x:c r="J246" s="34"/>
      <x:c r="K246" s="79"/>
      <x:c r="L246" s="34"/>
      <x:c r="M246" s="34"/>
      <x:c r="N246" s="34"/>
      <x:c r="O246" s="34"/>
      <x:c r="P246" s="35"/>
    </x:row>
    <x:row r="247">
      <x:c r="A247" s="34"/>
      <x:c r="B247" s="172"/>
      <x:c r="C247" s="34"/>
      <x:c r="D247" s="34"/>
      <x:c r="E247" s="34"/>
      <x:c r="F247" s="34"/>
      <x:c r="G247" s="34"/>
      <x:c r="H247" s="81"/>
      <x:c r="I247" s="34"/>
      <x:c r="J247" s="34"/>
      <x:c r="K247" s="79"/>
      <x:c r="L247" s="34"/>
      <x:c r="M247" s="34"/>
      <x:c r="N247" s="34"/>
      <x:c r="O247" s="34"/>
      <x:c r="P247" s="35"/>
    </x:row>
    <x:row r="248">
      <x:c r="A248" s="34"/>
      <x:c r="B248" s="172"/>
      <x:c r="C248" s="34"/>
      <x:c r="D248" s="34"/>
      <x:c r="E248" s="34"/>
      <x:c r="F248" s="34"/>
      <x:c r="G248" s="34"/>
      <x:c r="H248" s="81"/>
      <x:c r="I248" s="34"/>
      <x:c r="J248" s="34"/>
      <x:c r="K248" s="79"/>
      <x:c r="L248" s="34"/>
      <x:c r="M248" s="34"/>
      <x:c r="N248" s="34"/>
      <x:c r="O248" s="34"/>
      <x:c r="P248" s="35"/>
    </x:row>
    <x:row r="249">
      <x:c r="A249" s="34"/>
      <x:c r="B249" s="172"/>
      <x:c r="C249" s="34"/>
      <x:c r="D249" s="34"/>
      <x:c r="E249" s="34"/>
      <x:c r="F249" s="34"/>
      <x:c r="G249" s="34"/>
      <x:c r="H249" s="81"/>
      <x:c r="I249" s="34"/>
      <x:c r="J249" s="34"/>
      <x:c r="K249" s="79"/>
      <x:c r="L249" s="34"/>
      <x:c r="M249" s="34"/>
      <x:c r="N249" s="34"/>
      <x:c r="O249" s="34"/>
      <x:c r="P249" s="35"/>
    </x:row>
    <x:row r="250">
      <x:c r="A250" s="34"/>
      <x:c r="B250" s="172"/>
      <x:c r="C250" s="34"/>
      <x:c r="D250" s="34"/>
      <x:c r="E250" s="34"/>
      <x:c r="F250" s="34"/>
      <x:c r="G250" s="34"/>
      <x:c r="H250" s="81"/>
      <x:c r="I250" s="34"/>
      <x:c r="J250" s="34"/>
      <x:c r="K250" s="79"/>
      <x:c r="L250" s="34"/>
      <x:c r="M250" s="34"/>
      <x:c r="N250" s="34"/>
      <x:c r="O250" s="34"/>
      <x:c r="P250" s="35"/>
    </x:row>
    <x:row r="251">
      <x:c r="A251" s="34"/>
      <x:c r="B251" s="172"/>
      <x:c r="C251" s="34"/>
      <x:c r="D251" s="34"/>
      <x:c r="E251" s="34"/>
      <x:c r="F251" s="34"/>
      <x:c r="G251" s="34"/>
      <x:c r="H251" s="81"/>
      <x:c r="I251" s="34"/>
      <x:c r="J251" s="34"/>
      <x:c r="K251" s="79"/>
      <x:c r="L251" s="34"/>
      <x:c r="M251" s="34"/>
      <x:c r="N251" s="34"/>
      <x:c r="O251" s="34"/>
      <x:c r="P251" s="35"/>
    </x:row>
    <x:row r="252">
      <x:c r="A252" s="34"/>
      <x:c r="B252" s="172"/>
      <x:c r="C252" s="34"/>
      <x:c r="D252" s="34"/>
      <x:c r="E252" s="34"/>
      <x:c r="F252" s="34"/>
      <x:c r="G252" s="34"/>
      <x:c r="H252" s="81"/>
      <x:c r="I252" s="34"/>
      <x:c r="J252" s="34"/>
      <x:c r="K252" s="79"/>
      <x:c r="L252" s="34"/>
      <x:c r="M252" s="34"/>
      <x:c r="N252" s="34"/>
      <x:c r="O252" s="34"/>
      <x:c r="P252" s="35"/>
    </x:row>
    <x:row r="253">
      <x:c r="A253" s="34"/>
      <x:c r="B253" s="172"/>
      <x:c r="C253" s="34"/>
      <x:c r="D253" s="34"/>
      <x:c r="E253" s="34"/>
      <x:c r="F253" s="34"/>
      <x:c r="G253" s="34"/>
      <x:c r="H253" s="81"/>
      <x:c r="I253" s="34"/>
      <x:c r="J253" s="34"/>
      <x:c r="K253" s="79"/>
      <x:c r="L253" s="34"/>
      <x:c r="M253" s="34"/>
      <x:c r="N253" s="34"/>
      <x:c r="O253" s="34"/>
      <x:c r="P253" s="35"/>
    </x:row>
    <x:row r="254">
      <x:c r="A254" s="34"/>
      <x:c r="B254" s="172"/>
      <x:c r="C254" s="34"/>
      <x:c r="D254" s="34"/>
      <x:c r="E254" s="34"/>
      <x:c r="F254" s="34"/>
      <x:c r="G254" s="34"/>
      <x:c r="H254" s="81"/>
      <x:c r="I254" s="34"/>
      <x:c r="J254" s="34"/>
      <x:c r="K254" s="79"/>
      <x:c r="L254" s="34"/>
      <x:c r="M254" s="34"/>
      <x:c r="N254" s="34"/>
      <x:c r="O254" s="34"/>
      <x:c r="P254" s="35"/>
    </x:row>
    <x:row r="255">
      <x:c r="A255" s="34"/>
      <x:c r="B255" s="172"/>
      <x:c r="C255" s="34"/>
      <x:c r="D255" s="34"/>
      <x:c r="E255" s="34"/>
      <x:c r="F255" s="34"/>
      <x:c r="G255" s="34"/>
      <x:c r="H255" s="81"/>
      <x:c r="I255" s="34"/>
      <x:c r="J255" s="34"/>
      <x:c r="K255" s="79"/>
      <x:c r="L255" s="34"/>
      <x:c r="M255" s="34"/>
      <x:c r="N255" s="34"/>
      <x:c r="O255" s="34"/>
      <x:c r="P255" s="35"/>
    </x:row>
    <x:row r="256">
      <x:c r="A256" s="34"/>
      <x:c r="B256" s="172"/>
      <x:c r="C256" s="34"/>
      <x:c r="D256" s="34"/>
      <x:c r="E256" s="34"/>
      <x:c r="F256" s="34"/>
      <x:c r="G256" s="34"/>
      <x:c r="H256" s="81"/>
      <x:c r="I256" s="34"/>
      <x:c r="J256" s="34"/>
      <x:c r="K256" s="79"/>
      <x:c r="L256" s="34"/>
      <x:c r="M256" s="34"/>
      <x:c r="N256" s="34"/>
      <x:c r="O256" s="34"/>
      <x:c r="P256" s="35"/>
    </x:row>
    <x:row r="257">
      <x:c r="A257" s="34"/>
      <x:c r="B257" s="172"/>
      <x:c r="C257" s="34"/>
      <x:c r="D257" s="34"/>
      <x:c r="E257" s="34"/>
      <x:c r="F257" s="34"/>
      <x:c r="G257" s="34"/>
      <x:c r="H257" s="81"/>
      <x:c r="I257" s="34"/>
      <x:c r="J257" s="34"/>
      <x:c r="K257" s="79"/>
      <x:c r="L257" s="34"/>
      <x:c r="M257" s="34"/>
      <x:c r="N257" s="34"/>
      <x:c r="O257" s="34"/>
      <x:c r="P257" s="35"/>
    </x:row>
    <x:row r="258">
      <x:c r="A258" s="34"/>
      <x:c r="B258" s="172"/>
      <x:c r="C258" s="34"/>
      <x:c r="D258" s="34"/>
      <x:c r="E258" s="34"/>
      <x:c r="F258" s="34"/>
      <x:c r="G258" s="34"/>
      <x:c r="H258" s="81"/>
      <x:c r="I258" s="34"/>
      <x:c r="J258" s="34"/>
      <x:c r="K258" s="79"/>
      <x:c r="L258" s="34"/>
      <x:c r="M258" s="34"/>
      <x:c r="N258" s="34"/>
      <x:c r="O258" s="34"/>
      <x:c r="P258" s="35"/>
    </x:row>
    <x:row r="259">
      <x:c r="A259" s="34"/>
      <x:c r="B259" s="172"/>
      <x:c r="C259" s="34"/>
      <x:c r="D259" s="34"/>
      <x:c r="E259" s="34"/>
      <x:c r="F259" s="34"/>
      <x:c r="G259" s="34"/>
      <x:c r="H259" s="81"/>
      <x:c r="I259" s="34"/>
      <x:c r="J259" s="34"/>
      <x:c r="K259" s="79"/>
      <x:c r="L259" s="34"/>
      <x:c r="M259" s="34"/>
      <x:c r="N259" s="34"/>
      <x:c r="O259" s="34"/>
      <x:c r="P259" s="35"/>
    </x:row>
    <x:row r="260">
      <x:c r="A260" s="34"/>
      <x:c r="B260" s="172"/>
      <x:c r="C260" s="34"/>
      <x:c r="D260" s="34"/>
      <x:c r="E260" s="34"/>
      <x:c r="F260" s="34"/>
      <x:c r="G260" s="34"/>
      <x:c r="H260" s="81"/>
      <x:c r="I260" s="34"/>
      <x:c r="J260" s="34"/>
      <x:c r="K260" s="79"/>
      <x:c r="L260" s="34"/>
      <x:c r="M260" s="34"/>
      <x:c r="N260" s="34"/>
      <x:c r="O260" s="34"/>
      <x:c r="P260" s="35"/>
    </x:row>
    <x:row r="261">
      <x:c r="A261" s="34"/>
      <x:c r="B261" s="172"/>
      <x:c r="C261" s="34"/>
      <x:c r="D261" s="34"/>
      <x:c r="E261" s="34"/>
      <x:c r="F261" s="34"/>
      <x:c r="G261" s="34"/>
      <x:c r="H261" s="81"/>
      <x:c r="I261" s="34"/>
      <x:c r="J261" s="34"/>
      <x:c r="K261" s="79"/>
      <x:c r="L261" s="34"/>
      <x:c r="M261" s="34"/>
      <x:c r="N261" s="34"/>
      <x:c r="O261" s="34"/>
      <x:c r="P261" s="35"/>
    </x:row>
    <x:row r="262">
      <x:c r="A262" s="34"/>
      <x:c r="B262" s="172"/>
      <x:c r="C262" s="34"/>
      <x:c r="D262" s="34"/>
      <x:c r="E262" s="34"/>
      <x:c r="F262" s="34"/>
      <x:c r="G262" s="34"/>
      <x:c r="H262" s="81"/>
      <x:c r="I262" s="34"/>
      <x:c r="J262" s="34"/>
      <x:c r="K262" s="79"/>
      <x:c r="L262" s="34"/>
      <x:c r="M262" s="34"/>
      <x:c r="N262" s="34"/>
      <x:c r="O262" s="34"/>
      <x:c r="P262" s="35"/>
    </x:row>
    <x:row r="263">
      <x:c r="A263" s="34"/>
      <x:c r="B263" s="172"/>
      <x:c r="C263" s="34"/>
      <x:c r="D263" s="34"/>
      <x:c r="E263" s="34"/>
      <x:c r="F263" s="34"/>
      <x:c r="G263" s="34"/>
      <x:c r="H263" s="81"/>
      <x:c r="I263" s="34"/>
      <x:c r="J263" s="34"/>
      <x:c r="K263" s="79"/>
      <x:c r="L263" s="34"/>
      <x:c r="M263" s="34"/>
      <x:c r="N263" s="34"/>
      <x:c r="O263" s="34"/>
      <x:c r="P263" s="35"/>
    </x:row>
    <x:row r="264">
      <x:c r="A264" s="34"/>
      <x:c r="B264" s="172"/>
      <x:c r="C264" s="34"/>
      <x:c r="D264" s="34"/>
      <x:c r="E264" s="34"/>
      <x:c r="F264" s="34"/>
      <x:c r="G264" s="34"/>
      <x:c r="H264" s="81"/>
      <x:c r="I264" s="34"/>
      <x:c r="J264" s="34"/>
      <x:c r="K264" s="79"/>
      <x:c r="L264" s="34"/>
      <x:c r="M264" s="34"/>
      <x:c r="N264" s="34"/>
      <x:c r="O264" s="34"/>
      <x:c r="P264" s="35"/>
    </x:row>
    <x:row r="265">
      <x:c r="A265" s="34"/>
      <x:c r="B265" s="172"/>
      <x:c r="C265" s="34"/>
      <x:c r="D265" s="34"/>
      <x:c r="E265" s="34"/>
      <x:c r="F265" s="34"/>
      <x:c r="G265" s="34"/>
      <x:c r="H265" s="81"/>
      <x:c r="I265" s="34"/>
      <x:c r="J265" s="34"/>
      <x:c r="K265" s="79"/>
      <x:c r="L265" s="34"/>
      <x:c r="M265" s="34"/>
      <x:c r="N265" s="34"/>
      <x:c r="O265" s="34"/>
      <x:c r="P265" s="35"/>
    </x:row>
    <x:row r="266">
      <x:c r="A266" s="34"/>
      <x:c r="B266" s="172"/>
      <x:c r="C266" s="34"/>
      <x:c r="D266" s="34"/>
      <x:c r="E266" s="34"/>
      <x:c r="F266" s="34"/>
      <x:c r="G266" s="34"/>
      <x:c r="H266" s="81"/>
      <x:c r="I266" s="34"/>
      <x:c r="J266" s="34"/>
      <x:c r="K266" s="79"/>
      <x:c r="L266" s="34"/>
      <x:c r="M266" s="34"/>
      <x:c r="N266" s="34"/>
      <x:c r="O266" s="34"/>
      <x:c r="P266" s="35"/>
    </x:row>
    <x:row r="267">
      <x:c r="A267" s="34"/>
      <x:c r="B267" s="172"/>
      <x:c r="C267" s="34"/>
      <x:c r="D267" s="34"/>
      <x:c r="E267" s="34"/>
      <x:c r="F267" s="34"/>
      <x:c r="G267" s="34"/>
      <x:c r="H267" s="81"/>
      <x:c r="I267" s="34"/>
      <x:c r="J267" s="34"/>
      <x:c r="K267" s="79"/>
      <x:c r="L267" s="34"/>
      <x:c r="M267" s="34"/>
      <x:c r="N267" s="34"/>
      <x:c r="O267" s="34"/>
      <x:c r="P267" s="35"/>
    </x:row>
    <x:row r="268">
      <x:c r="A268" s="34"/>
      <x:c r="B268" s="172"/>
      <x:c r="C268" s="34"/>
      <x:c r="D268" s="34"/>
      <x:c r="E268" s="34"/>
      <x:c r="F268" s="34"/>
      <x:c r="G268" s="34"/>
      <x:c r="H268" s="81"/>
      <x:c r="I268" s="34"/>
      <x:c r="J268" s="34"/>
      <x:c r="K268" s="79"/>
      <x:c r="L268" s="34"/>
      <x:c r="M268" s="34"/>
      <x:c r="N268" s="34"/>
      <x:c r="O268" s="34"/>
      <x:c r="P268" s="35"/>
    </x:row>
    <x:row r="269">
      <x:c r="A269" s="34"/>
      <x:c r="B269" s="172"/>
      <x:c r="C269" s="34"/>
      <x:c r="D269" s="34"/>
      <x:c r="E269" s="34"/>
      <x:c r="F269" s="34"/>
      <x:c r="G269" s="34"/>
      <x:c r="H269" s="81"/>
      <x:c r="I269" s="34"/>
      <x:c r="J269" s="34"/>
      <x:c r="K269" s="79"/>
      <x:c r="L269" s="34"/>
      <x:c r="M269" s="34"/>
      <x:c r="N269" s="34"/>
      <x:c r="O269" s="34"/>
      <x:c r="P269" s="35"/>
    </x:row>
    <x:row r="270">
      <x:c r="A270" s="34"/>
      <x:c r="B270" s="172"/>
      <x:c r="C270" s="34"/>
      <x:c r="D270" s="34"/>
      <x:c r="E270" s="34"/>
      <x:c r="F270" s="34"/>
      <x:c r="G270" s="34"/>
      <x:c r="H270" s="81"/>
      <x:c r="I270" s="34"/>
      <x:c r="J270" s="34"/>
      <x:c r="K270" s="79"/>
      <x:c r="L270" s="34"/>
      <x:c r="M270" s="34"/>
      <x:c r="N270" s="34"/>
      <x:c r="O270" s="34"/>
      <x:c r="P270" s="35"/>
    </x:row>
    <x:row r="271">
      <x:c r="A271" s="34"/>
      <x:c r="B271" s="172"/>
      <x:c r="C271" s="34"/>
      <x:c r="D271" s="34"/>
      <x:c r="E271" s="34"/>
      <x:c r="F271" s="34"/>
      <x:c r="G271" s="34"/>
      <x:c r="H271" s="81"/>
      <x:c r="I271" s="34"/>
      <x:c r="J271" s="34"/>
      <x:c r="K271" s="79"/>
      <x:c r="L271" s="34"/>
      <x:c r="M271" s="34"/>
      <x:c r="N271" s="34"/>
      <x:c r="O271" s="34"/>
      <x:c r="P271" s="35"/>
    </x:row>
    <x:row r="272">
      <x:c r="A272" s="34"/>
      <x:c r="B272" s="172"/>
      <x:c r="C272" s="34"/>
      <x:c r="D272" s="34"/>
      <x:c r="E272" s="34"/>
      <x:c r="F272" s="34"/>
      <x:c r="G272" s="34"/>
      <x:c r="H272" s="81"/>
      <x:c r="I272" s="34"/>
      <x:c r="J272" s="34"/>
      <x:c r="K272" s="79"/>
      <x:c r="L272" s="34"/>
      <x:c r="M272" s="34"/>
      <x:c r="N272" s="34"/>
      <x:c r="O272" s="34"/>
      <x:c r="P272" s="35"/>
    </x:row>
    <x:row r="273">
      <x:c r="A273" s="34"/>
      <x:c r="B273" s="172"/>
      <x:c r="C273" s="34"/>
      <x:c r="D273" s="34"/>
      <x:c r="E273" s="34"/>
      <x:c r="F273" s="34"/>
      <x:c r="G273" s="34"/>
      <x:c r="H273" s="81"/>
      <x:c r="I273" s="34"/>
      <x:c r="J273" s="34"/>
      <x:c r="K273" s="79"/>
      <x:c r="L273" s="34"/>
      <x:c r="M273" s="34"/>
      <x:c r="N273" s="34"/>
      <x:c r="O273" s="34"/>
      <x:c r="P273" s="35"/>
    </x:row>
    <x:row r="274">
      <x:c r="A274" s="34"/>
      <x:c r="B274" s="172"/>
      <x:c r="C274" s="34"/>
      <x:c r="D274" s="34"/>
      <x:c r="E274" s="34"/>
      <x:c r="F274" s="34"/>
      <x:c r="G274" s="34"/>
      <x:c r="H274" s="81"/>
      <x:c r="I274" s="34"/>
      <x:c r="J274" s="34"/>
      <x:c r="K274" s="79"/>
      <x:c r="L274" s="34"/>
      <x:c r="M274" s="34"/>
      <x:c r="N274" s="34"/>
      <x:c r="O274" s="34"/>
      <x:c r="P274" s="35"/>
    </x:row>
    <x:row r="275">
      <x:c r="A275" s="34"/>
      <x:c r="B275" s="172"/>
      <x:c r="C275" s="34"/>
      <x:c r="D275" s="34"/>
      <x:c r="E275" s="34"/>
      <x:c r="F275" s="34"/>
      <x:c r="G275" s="34"/>
      <x:c r="H275" s="81"/>
      <x:c r="I275" s="34"/>
      <x:c r="J275" s="34"/>
      <x:c r="K275" s="79"/>
      <x:c r="L275" s="34"/>
      <x:c r="M275" s="34"/>
      <x:c r="N275" s="34"/>
      <x:c r="O275" s="34"/>
      <x:c r="P275" s="35"/>
    </x:row>
    <x:row r="276">
      <x:c r="A276" s="34"/>
      <x:c r="B276" s="172"/>
      <x:c r="C276" s="34"/>
      <x:c r="D276" s="34"/>
      <x:c r="E276" s="34"/>
      <x:c r="F276" s="34"/>
      <x:c r="G276" s="34"/>
      <x:c r="H276" s="81"/>
      <x:c r="I276" s="34"/>
      <x:c r="J276" s="34"/>
      <x:c r="K276" s="79"/>
      <x:c r="L276" s="34"/>
      <x:c r="M276" s="34"/>
      <x:c r="N276" s="34"/>
      <x:c r="O276" s="34"/>
      <x:c r="P276" s="35"/>
    </x:row>
    <x:row r="277">
      <x:c r="A277" s="34"/>
      <x:c r="B277" s="172"/>
      <x:c r="C277" s="34"/>
      <x:c r="D277" s="34"/>
      <x:c r="E277" s="34"/>
      <x:c r="F277" s="34"/>
      <x:c r="G277" s="34"/>
      <x:c r="H277" s="81"/>
      <x:c r="I277" s="34"/>
      <x:c r="J277" s="34"/>
      <x:c r="K277" s="79"/>
      <x:c r="L277" s="34"/>
      <x:c r="M277" s="34"/>
      <x:c r="N277" s="34"/>
      <x:c r="O277" s="34"/>
      <x:c r="P277" s="35"/>
    </x:row>
    <x:row r="278">
      <x:c r="A278" s="34"/>
      <x:c r="B278" s="172"/>
      <x:c r="C278" s="34"/>
      <x:c r="D278" s="34"/>
      <x:c r="E278" s="34"/>
      <x:c r="F278" s="34"/>
      <x:c r="G278" s="34"/>
      <x:c r="H278" s="81"/>
      <x:c r="I278" s="34"/>
      <x:c r="J278" s="34"/>
      <x:c r="K278" s="79"/>
      <x:c r="L278" s="34"/>
      <x:c r="M278" s="34"/>
      <x:c r="N278" s="34"/>
      <x:c r="O278" s="34"/>
      <x:c r="P278" s="35"/>
    </x:row>
    <x:row r="279">
      <x:c r="A279" s="34"/>
      <x:c r="B279" s="172"/>
      <x:c r="C279" s="34"/>
      <x:c r="D279" s="34"/>
      <x:c r="E279" s="34"/>
      <x:c r="F279" s="34"/>
      <x:c r="G279" s="34"/>
      <x:c r="H279" s="81"/>
      <x:c r="I279" s="34"/>
      <x:c r="J279" s="34"/>
      <x:c r="K279" s="79"/>
      <x:c r="L279" s="34"/>
      <x:c r="M279" s="34"/>
      <x:c r="N279" s="34"/>
      <x:c r="O279" s="34"/>
      <x:c r="P279" s="35"/>
    </x:row>
    <x:row r="280">
      <x:c r="A280" s="34"/>
      <x:c r="B280" s="172"/>
      <x:c r="C280" s="34"/>
      <x:c r="D280" s="34"/>
      <x:c r="E280" s="34"/>
      <x:c r="F280" s="34"/>
      <x:c r="G280" s="34"/>
      <x:c r="H280" s="81"/>
      <x:c r="I280" s="34"/>
      <x:c r="J280" s="34"/>
      <x:c r="K280" s="79"/>
      <x:c r="L280" s="34"/>
      <x:c r="M280" s="34"/>
      <x:c r="N280" s="34"/>
      <x:c r="O280" s="34"/>
      <x:c r="P280" s="35"/>
    </x:row>
    <x:row r="281">
      <x:c r="A281" s="34"/>
      <x:c r="B281" s="172"/>
      <x:c r="C281" s="34"/>
      <x:c r="D281" s="34"/>
      <x:c r="E281" s="34"/>
      <x:c r="F281" s="34"/>
      <x:c r="G281" s="34"/>
      <x:c r="H281" s="81"/>
      <x:c r="I281" s="34"/>
      <x:c r="J281" s="34"/>
      <x:c r="K281" s="79"/>
      <x:c r="L281" s="34"/>
      <x:c r="M281" s="34"/>
      <x:c r="N281" s="34"/>
      <x:c r="O281" s="34"/>
      <x:c r="P281" s="35"/>
    </x:row>
    <x:row r="282">
      <x:c r="A282" s="34"/>
      <x:c r="B282" s="172"/>
      <x:c r="C282" s="34"/>
      <x:c r="D282" s="34"/>
      <x:c r="E282" s="34"/>
      <x:c r="F282" s="34"/>
      <x:c r="G282" s="34"/>
      <x:c r="H282" s="81"/>
      <x:c r="I282" s="34"/>
      <x:c r="J282" s="34"/>
      <x:c r="K282" s="79"/>
      <x:c r="L282" s="34"/>
      <x:c r="M282" s="34"/>
      <x:c r="N282" s="34"/>
      <x:c r="O282" s="34"/>
      <x:c r="P282" s="35"/>
    </x:row>
    <x:row r="283">
      <x:c r="A283" s="34"/>
      <x:c r="B283" s="172"/>
      <x:c r="C283" s="34"/>
      <x:c r="D283" s="34"/>
      <x:c r="E283" s="34"/>
      <x:c r="F283" s="34"/>
      <x:c r="G283" s="34"/>
      <x:c r="H283" s="81"/>
      <x:c r="I283" s="34"/>
      <x:c r="J283" s="34"/>
      <x:c r="K283" s="79"/>
      <x:c r="L283" s="34"/>
      <x:c r="M283" s="34"/>
      <x:c r="N283" s="34"/>
      <x:c r="O283" s="34"/>
      <x:c r="P283" s="35"/>
    </x:row>
    <x:row r="284">
      <x:c r="A284" s="34"/>
      <x:c r="B284" s="172"/>
      <x:c r="C284" s="34"/>
      <x:c r="D284" s="34"/>
      <x:c r="E284" s="34"/>
      <x:c r="F284" s="34"/>
      <x:c r="G284" s="34"/>
      <x:c r="H284" s="81"/>
      <x:c r="I284" s="34"/>
      <x:c r="J284" s="34"/>
      <x:c r="K284" s="79"/>
      <x:c r="L284" s="34"/>
      <x:c r="M284" s="34"/>
      <x:c r="N284" s="34"/>
      <x:c r="O284" s="34"/>
      <x:c r="P284" s="35"/>
    </x:row>
    <x:row r="285">
      <x:c r="A285" s="34"/>
      <x:c r="B285" s="172"/>
      <x:c r="C285" s="34"/>
      <x:c r="D285" s="34"/>
      <x:c r="E285" s="34"/>
      <x:c r="F285" s="34"/>
      <x:c r="G285" s="34"/>
      <x:c r="H285" s="81"/>
      <x:c r="I285" s="34"/>
      <x:c r="J285" s="34"/>
      <x:c r="K285" s="79"/>
      <x:c r="L285" s="34"/>
      <x:c r="M285" s="34"/>
      <x:c r="N285" s="34"/>
      <x:c r="O285" s="34"/>
      <x:c r="P285" s="35"/>
    </x:row>
    <x:row r="286">
      <x:c r="A286" s="34"/>
      <x:c r="B286" s="172"/>
      <x:c r="C286" s="34"/>
      <x:c r="D286" s="34"/>
      <x:c r="E286" s="34"/>
      <x:c r="F286" s="34"/>
      <x:c r="G286" s="34"/>
      <x:c r="H286" s="81"/>
      <x:c r="I286" s="34"/>
      <x:c r="J286" s="34"/>
      <x:c r="K286" s="79"/>
      <x:c r="L286" s="34"/>
      <x:c r="M286" s="34"/>
      <x:c r="N286" s="34"/>
      <x:c r="O286" s="34"/>
      <x:c r="P286" s="35"/>
    </x:row>
    <x:row r="287">
      <x:c r="A287" s="34"/>
      <x:c r="B287" s="172"/>
      <x:c r="C287" s="34"/>
      <x:c r="D287" s="34"/>
      <x:c r="E287" s="34"/>
      <x:c r="F287" s="34"/>
      <x:c r="G287" s="34"/>
      <x:c r="H287" s="81"/>
      <x:c r="I287" s="34"/>
      <x:c r="J287" s="34"/>
      <x:c r="K287" s="79"/>
      <x:c r="L287" s="34"/>
      <x:c r="M287" s="34"/>
      <x:c r="N287" s="34"/>
      <x:c r="O287" s="34"/>
      <x:c r="P287" s="35"/>
    </x:row>
    <x:row r="288">
      <x:c r="A288" s="34"/>
      <x:c r="B288" s="172"/>
      <x:c r="C288" s="34"/>
      <x:c r="D288" s="34"/>
      <x:c r="E288" s="34"/>
      <x:c r="F288" s="34"/>
      <x:c r="G288" s="34"/>
      <x:c r="H288" s="81"/>
      <x:c r="I288" s="34"/>
      <x:c r="J288" s="34"/>
      <x:c r="K288" s="79"/>
      <x:c r="L288" s="34"/>
      <x:c r="M288" s="34"/>
      <x:c r="N288" s="34"/>
      <x:c r="O288" s="34"/>
      <x:c r="P288" s="35"/>
    </x:row>
    <x:row r="289">
      <x:c r="A289" s="34"/>
      <x:c r="B289" s="172"/>
      <x:c r="C289" s="34"/>
      <x:c r="D289" s="34"/>
      <x:c r="E289" s="34"/>
      <x:c r="F289" s="34"/>
      <x:c r="G289" s="34"/>
      <x:c r="H289" s="81"/>
      <x:c r="I289" s="34"/>
      <x:c r="J289" s="34"/>
      <x:c r="K289" s="79"/>
      <x:c r="L289" s="34"/>
      <x:c r="M289" s="34"/>
      <x:c r="N289" s="34"/>
      <x:c r="O289" s="34"/>
      <x:c r="P289" s="35"/>
    </x:row>
    <x:row r="290">
      <x:c r="A290" s="34"/>
      <x:c r="B290" s="172"/>
      <x:c r="C290" s="34"/>
      <x:c r="D290" s="34"/>
      <x:c r="E290" s="34"/>
      <x:c r="F290" s="34"/>
      <x:c r="G290" s="34"/>
      <x:c r="H290" s="81"/>
      <x:c r="I290" s="34"/>
      <x:c r="J290" s="34"/>
      <x:c r="K290" s="79"/>
      <x:c r="L290" s="34"/>
      <x:c r="M290" s="34"/>
      <x:c r="N290" s="34"/>
      <x:c r="O290" s="34"/>
      <x:c r="P290" s="35"/>
    </x:row>
    <x:row r="291">
      <x:c r="A291" s="34"/>
      <x:c r="B291" s="172"/>
      <x:c r="C291" s="34"/>
      <x:c r="D291" s="34"/>
      <x:c r="E291" s="34"/>
      <x:c r="F291" s="34"/>
      <x:c r="G291" s="34"/>
      <x:c r="H291" s="81"/>
      <x:c r="I291" s="34"/>
      <x:c r="J291" s="34"/>
      <x:c r="K291" s="79"/>
      <x:c r="L291" s="34"/>
      <x:c r="M291" s="34"/>
      <x:c r="N291" s="34"/>
      <x:c r="O291" s="34"/>
      <x:c r="P291" s="35"/>
    </x:row>
    <x:row r="292">
      <x:c r="A292" s="34"/>
      <x:c r="B292" s="172"/>
      <x:c r="C292" s="34"/>
      <x:c r="D292" s="34"/>
      <x:c r="E292" s="34"/>
      <x:c r="F292" s="34"/>
      <x:c r="G292" s="34"/>
      <x:c r="H292" s="81"/>
      <x:c r="I292" s="34"/>
      <x:c r="J292" s="34"/>
      <x:c r="K292" s="79"/>
      <x:c r="L292" s="34"/>
      <x:c r="M292" s="34"/>
      <x:c r="N292" s="34"/>
      <x:c r="O292" s="34"/>
      <x:c r="P292" s="35"/>
    </x:row>
    <x:row r="293">
      <x:c r="A293" s="34"/>
      <x:c r="B293" s="172"/>
      <x:c r="C293" s="34"/>
      <x:c r="D293" s="34"/>
      <x:c r="E293" s="34"/>
      <x:c r="F293" s="34"/>
      <x:c r="G293" s="34"/>
      <x:c r="H293" s="81"/>
      <x:c r="I293" s="34"/>
      <x:c r="J293" s="34"/>
      <x:c r="K293" s="79"/>
      <x:c r="L293" s="34"/>
      <x:c r="M293" s="34"/>
      <x:c r="N293" s="34"/>
      <x:c r="O293" s="34"/>
      <x:c r="P293" s="35"/>
    </x:row>
    <x:row r="294">
      <x:c r="A294" s="34"/>
      <x:c r="B294" s="172"/>
      <x:c r="C294" s="34"/>
      <x:c r="D294" s="34"/>
      <x:c r="E294" s="34"/>
      <x:c r="F294" s="34"/>
      <x:c r="G294" s="34"/>
      <x:c r="H294" s="81"/>
      <x:c r="I294" s="34"/>
      <x:c r="J294" s="34"/>
      <x:c r="K294" s="79"/>
      <x:c r="L294" s="34"/>
      <x:c r="M294" s="34"/>
      <x:c r="N294" s="34"/>
      <x:c r="O294" s="34"/>
      <x:c r="P294" s="35"/>
    </x:row>
    <x:row r="295">
      <x:c r="A295" s="34"/>
      <x:c r="B295" s="172"/>
      <x:c r="C295" s="34"/>
      <x:c r="D295" s="34"/>
      <x:c r="E295" s="34"/>
      <x:c r="F295" s="34"/>
      <x:c r="G295" s="34"/>
      <x:c r="H295" s="81"/>
      <x:c r="I295" s="34"/>
      <x:c r="J295" s="34"/>
      <x:c r="K295" s="79"/>
      <x:c r="L295" s="34"/>
      <x:c r="M295" s="34"/>
      <x:c r="N295" s="34"/>
      <x:c r="O295" s="34"/>
      <x:c r="P295" s="35"/>
    </x:row>
    <x:row r="296">
      <x:c r="A296" s="34"/>
      <x:c r="B296" s="172"/>
      <x:c r="C296" s="34"/>
      <x:c r="D296" s="34"/>
      <x:c r="E296" s="34"/>
      <x:c r="F296" s="34"/>
      <x:c r="G296" s="34"/>
      <x:c r="H296" s="81"/>
      <x:c r="I296" s="34"/>
      <x:c r="J296" s="34"/>
      <x:c r="K296" s="79"/>
      <x:c r="L296" s="34"/>
      <x:c r="M296" s="34"/>
      <x:c r="N296" s="34"/>
      <x:c r="O296" s="34"/>
      <x:c r="P296" s="35"/>
    </x:row>
    <x:row r="297">
      <x:c r="A297" s="34"/>
      <x:c r="B297" s="172"/>
      <x:c r="C297" s="34"/>
      <x:c r="D297" s="34"/>
      <x:c r="E297" s="34"/>
      <x:c r="F297" s="34"/>
      <x:c r="G297" s="34"/>
      <x:c r="H297" s="81"/>
      <x:c r="I297" s="34"/>
      <x:c r="J297" s="34"/>
      <x:c r="K297" s="79"/>
      <x:c r="L297" s="34"/>
      <x:c r="M297" s="34"/>
      <x:c r="N297" s="34"/>
      <x:c r="O297" s="34"/>
      <x:c r="P297" s="35"/>
    </x:row>
    <x:row r="298">
      <x:c r="A298" s="34"/>
      <x:c r="B298" s="172"/>
      <x:c r="C298" s="34"/>
      <x:c r="D298" s="34"/>
      <x:c r="E298" s="34"/>
      <x:c r="F298" s="34"/>
      <x:c r="G298" s="34"/>
      <x:c r="H298" s="81"/>
      <x:c r="I298" s="34"/>
      <x:c r="J298" s="34"/>
      <x:c r="K298" s="79"/>
      <x:c r="L298" s="34"/>
      <x:c r="M298" s="34"/>
      <x:c r="N298" s="34"/>
      <x:c r="O298" s="34"/>
      <x:c r="P298" s="35"/>
    </x:row>
    <x:row r="299">
      <x:c r="A299" s="34"/>
      <x:c r="B299" s="172"/>
      <x:c r="C299" s="34"/>
      <x:c r="D299" s="34"/>
      <x:c r="E299" s="34"/>
      <x:c r="F299" s="34"/>
      <x:c r="G299" s="34"/>
      <x:c r="H299" s="81"/>
      <x:c r="I299" s="34"/>
      <x:c r="J299" s="34"/>
      <x:c r="K299" s="79"/>
      <x:c r="L299" s="34"/>
      <x:c r="M299" s="34"/>
      <x:c r="N299" s="34"/>
      <x:c r="O299" s="34"/>
      <x:c r="P299" s="35"/>
    </x:row>
    <x:row r="300">
      <x:c r="A300" s="34"/>
      <x:c r="B300" s="172"/>
      <x:c r="C300" s="34"/>
      <x:c r="D300" s="34"/>
      <x:c r="E300" s="34"/>
      <x:c r="F300" s="34"/>
      <x:c r="G300" s="34"/>
      <x:c r="H300" s="81"/>
      <x:c r="I300" s="34"/>
      <x:c r="J300" s="34"/>
      <x:c r="K300" s="79"/>
      <x:c r="L300" s="34"/>
      <x:c r="M300" s="34"/>
      <x:c r="N300" s="34"/>
      <x:c r="O300" s="34"/>
      <x:c r="P300" s="35"/>
    </x:row>
    <x:row r="301">
      <x:c r="A301" s="34"/>
      <x:c r="B301" s="172"/>
      <x:c r="C301" s="34"/>
      <x:c r="D301" s="34"/>
      <x:c r="E301" s="34"/>
      <x:c r="F301" s="34"/>
      <x:c r="G301" s="34"/>
      <x:c r="H301" s="81"/>
      <x:c r="I301" s="34"/>
      <x:c r="J301" s="34"/>
      <x:c r="K301" s="79"/>
      <x:c r="L301" s="34"/>
      <x:c r="M301" s="34"/>
      <x:c r="N301" s="34"/>
      <x:c r="O301" s="34"/>
      <x:c r="P301" s="35"/>
    </x:row>
    <x:row r="302">
      <x:c r="A302" s="34"/>
      <x:c r="B302" s="172"/>
      <x:c r="C302" s="34"/>
      <x:c r="D302" s="34"/>
      <x:c r="E302" s="34"/>
      <x:c r="F302" s="34"/>
      <x:c r="G302" s="34"/>
      <x:c r="H302" s="81"/>
      <x:c r="I302" s="34"/>
      <x:c r="J302" s="34"/>
      <x:c r="K302" s="79"/>
      <x:c r="L302" s="34"/>
      <x:c r="M302" s="34"/>
      <x:c r="N302" s="34"/>
      <x:c r="O302" s="34"/>
      <x:c r="P302" s="35"/>
    </x:row>
    <x:row r="303">
      <x:c r="A303" s="34"/>
      <x:c r="B303" s="172"/>
      <x:c r="C303" s="34"/>
      <x:c r="D303" s="34"/>
      <x:c r="E303" s="34"/>
      <x:c r="F303" s="34"/>
      <x:c r="G303" s="34"/>
      <x:c r="H303" s="81"/>
      <x:c r="I303" s="34"/>
      <x:c r="J303" s="34"/>
      <x:c r="K303" s="79"/>
      <x:c r="L303" s="34"/>
      <x:c r="M303" s="34"/>
      <x:c r="N303" s="34"/>
      <x:c r="O303" s="34"/>
      <x:c r="P303" s="35"/>
    </x:row>
    <x:row r="304">
      <x:c r="A304" s="34"/>
      <x:c r="B304" s="172"/>
      <x:c r="C304" s="34"/>
      <x:c r="D304" s="34"/>
      <x:c r="E304" s="34"/>
      <x:c r="F304" s="34"/>
      <x:c r="G304" s="34"/>
      <x:c r="H304" s="81"/>
      <x:c r="I304" s="34"/>
      <x:c r="J304" s="34"/>
      <x:c r="K304" s="79"/>
      <x:c r="L304" s="34"/>
      <x:c r="M304" s="34"/>
      <x:c r="N304" s="34"/>
      <x:c r="O304" s="34"/>
      <x:c r="P304" s="35"/>
    </x:row>
    <x:row r="305">
      <x:c r="A305" s="34"/>
      <x:c r="B305" s="172"/>
      <x:c r="C305" s="34"/>
      <x:c r="D305" s="34"/>
      <x:c r="E305" s="34"/>
      <x:c r="F305" s="34"/>
      <x:c r="G305" s="34"/>
      <x:c r="H305" s="81"/>
      <x:c r="I305" s="34"/>
      <x:c r="J305" s="34"/>
      <x:c r="K305" s="79"/>
      <x:c r="L305" s="34"/>
      <x:c r="M305" s="34"/>
      <x:c r="N305" s="34"/>
      <x:c r="O305" s="34"/>
      <x:c r="P305" s="35"/>
    </x:row>
    <x:row r="306">
      <x:c r="A306" s="34"/>
      <x:c r="B306" s="172"/>
      <x:c r="C306" s="34"/>
      <x:c r="D306" s="34"/>
      <x:c r="E306" s="34"/>
      <x:c r="F306" s="34"/>
      <x:c r="G306" s="34"/>
      <x:c r="H306" s="81"/>
      <x:c r="I306" s="34"/>
      <x:c r="J306" s="34"/>
      <x:c r="K306" s="79"/>
      <x:c r="L306" s="34"/>
      <x:c r="M306" s="34"/>
      <x:c r="N306" s="34"/>
      <x:c r="O306" s="34"/>
      <x:c r="P306" s="35"/>
    </x:row>
    <x:row r="307">
      <x:c r="A307" s="34"/>
      <x:c r="B307" s="172"/>
      <x:c r="C307" s="34"/>
      <x:c r="D307" s="34"/>
      <x:c r="E307" s="34"/>
      <x:c r="F307" s="34"/>
      <x:c r="G307" s="34"/>
      <x:c r="H307" s="81"/>
      <x:c r="I307" s="34"/>
      <x:c r="J307" s="34"/>
      <x:c r="K307" s="79"/>
      <x:c r="L307" s="34"/>
      <x:c r="M307" s="34"/>
      <x:c r="N307" s="34"/>
      <x:c r="O307" s="34"/>
      <x:c r="P307" s="35"/>
    </x:row>
    <x:row r="308">
      <x:c r="A308" s="34"/>
      <x:c r="B308" s="172"/>
      <x:c r="C308" s="34"/>
      <x:c r="D308" s="34"/>
      <x:c r="E308" s="34"/>
      <x:c r="F308" s="34"/>
      <x:c r="G308" s="34"/>
      <x:c r="H308" s="81"/>
      <x:c r="I308" s="34"/>
      <x:c r="J308" s="34"/>
      <x:c r="K308" s="79"/>
      <x:c r="L308" s="34"/>
      <x:c r="M308" s="34"/>
      <x:c r="N308" s="34"/>
      <x:c r="O308" s="34"/>
      <x:c r="P308" s="35"/>
    </x:row>
    <x:row r="309">
      <x:c r="A309" s="34"/>
      <x:c r="B309" s="172"/>
      <x:c r="C309" s="34"/>
      <x:c r="D309" s="34"/>
      <x:c r="E309" s="34"/>
      <x:c r="F309" s="34"/>
      <x:c r="G309" s="34"/>
      <x:c r="H309" s="81"/>
      <x:c r="I309" s="34"/>
      <x:c r="J309" s="34"/>
      <x:c r="K309" s="79"/>
      <x:c r="L309" s="34"/>
      <x:c r="M309" s="34"/>
      <x:c r="N309" s="34"/>
      <x:c r="O309" s="34"/>
      <x:c r="P309" s="35"/>
    </x:row>
    <x:row r="310">
      <x:c r="A310" s="34"/>
      <x:c r="B310" s="172"/>
      <x:c r="C310" s="34"/>
      <x:c r="D310" s="34"/>
      <x:c r="E310" s="34"/>
      <x:c r="F310" s="34"/>
      <x:c r="G310" s="34"/>
      <x:c r="H310" s="81"/>
      <x:c r="I310" s="34"/>
      <x:c r="J310" s="34"/>
      <x:c r="K310" s="79"/>
      <x:c r="L310" s="34"/>
      <x:c r="M310" s="34"/>
      <x:c r="N310" s="34"/>
      <x:c r="O310" s="34"/>
      <x:c r="P310" s="35"/>
    </x:row>
    <x:row r="311">
      <x:c r="A311" s="34"/>
      <x:c r="B311" s="172"/>
      <x:c r="C311" s="34"/>
      <x:c r="D311" s="34"/>
      <x:c r="E311" s="34"/>
      <x:c r="F311" s="34"/>
      <x:c r="G311" s="34"/>
      <x:c r="H311" s="81"/>
      <x:c r="I311" s="34"/>
      <x:c r="J311" s="34"/>
      <x:c r="K311" s="79"/>
      <x:c r="L311" s="34"/>
      <x:c r="M311" s="34"/>
      <x:c r="N311" s="34"/>
      <x:c r="O311" s="34"/>
      <x:c r="P311" s="35"/>
    </x:row>
    <x:row r="312">
      <x:c r="A312" s="34"/>
      <x:c r="B312" s="172"/>
      <x:c r="C312" s="34"/>
      <x:c r="D312" s="34"/>
      <x:c r="E312" s="34"/>
      <x:c r="F312" s="34"/>
      <x:c r="G312" s="34"/>
      <x:c r="H312" s="81"/>
      <x:c r="I312" s="34"/>
      <x:c r="J312" s="34"/>
      <x:c r="K312" s="79"/>
      <x:c r="L312" s="34"/>
      <x:c r="M312" s="34"/>
      <x:c r="N312" s="34"/>
      <x:c r="O312" s="34"/>
      <x:c r="P312" s="35"/>
    </x:row>
    <x:row r="313">
      <x:c r="A313" s="34"/>
      <x:c r="B313" s="172"/>
      <x:c r="C313" s="34"/>
      <x:c r="D313" s="34"/>
      <x:c r="E313" s="34"/>
      <x:c r="F313" s="34"/>
      <x:c r="G313" s="34"/>
      <x:c r="H313" s="81"/>
      <x:c r="I313" s="34"/>
      <x:c r="J313" s="34"/>
      <x:c r="K313" s="79"/>
      <x:c r="L313" s="34"/>
      <x:c r="M313" s="34"/>
      <x:c r="N313" s="34"/>
      <x:c r="O313" s="34"/>
      <x:c r="P313" s="35"/>
    </x:row>
    <x:row r="314">
      <x:c r="A314" s="34"/>
      <x:c r="B314" s="172"/>
      <x:c r="C314" s="34"/>
      <x:c r="D314" s="34"/>
      <x:c r="E314" s="34"/>
      <x:c r="F314" s="34"/>
      <x:c r="G314" s="34"/>
      <x:c r="H314" s="81"/>
      <x:c r="I314" s="34"/>
      <x:c r="J314" s="34"/>
      <x:c r="K314" s="79"/>
      <x:c r="L314" s="34"/>
      <x:c r="M314" s="34"/>
      <x:c r="N314" s="34"/>
      <x:c r="O314" s="34"/>
      <x:c r="P314" s="35"/>
    </x:row>
    <x:row r="315">
      <x:c r="A315" s="34"/>
      <x:c r="B315" s="172"/>
      <x:c r="C315" s="34"/>
      <x:c r="D315" s="34"/>
      <x:c r="E315" s="34"/>
      <x:c r="F315" s="34"/>
      <x:c r="G315" s="34"/>
      <x:c r="H315" s="81"/>
      <x:c r="I315" s="34"/>
      <x:c r="J315" s="34"/>
      <x:c r="K315" s="79"/>
      <x:c r="L315" s="34"/>
      <x:c r="M315" s="34"/>
      <x:c r="N315" s="34"/>
      <x:c r="O315" s="34"/>
      <x:c r="P315" s="35"/>
    </x:row>
    <x:row r="316">
      <x:c r="A316" s="34"/>
      <x:c r="B316" s="172"/>
      <x:c r="C316" s="34"/>
      <x:c r="D316" s="34"/>
      <x:c r="E316" s="34"/>
      <x:c r="F316" s="34"/>
      <x:c r="G316" s="34"/>
      <x:c r="H316" s="81"/>
      <x:c r="I316" s="34"/>
      <x:c r="J316" s="34"/>
      <x:c r="K316" s="79"/>
      <x:c r="L316" s="34"/>
      <x:c r="M316" s="34"/>
      <x:c r="N316" s="34"/>
      <x:c r="O316" s="34"/>
      <x:c r="P316" s="35"/>
    </x:row>
    <x:row r="317">
      <x:c r="A317" s="34"/>
      <x:c r="B317" s="172"/>
      <x:c r="C317" s="34"/>
      <x:c r="D317" s="34"/>
      <x:c r="E317" s="34"/>
      <x:c r="F317" s="34"/>
      <x:c r="G317" s="34"/>
      <x:c r="H317" s="81"/>
      <x:c r="I317" s="34"/>
      <x:c r="J317" s="34"/>
      <x:c r="K317" s="79"/>
      <x:c r="L317" s="34"/>
      <x:c r="M317" s="34"/>
      <x:c r="N317" s="34"/>
      <x:c r="O317" s="34"/>
      <x:c r="P317" s="35"/>
    </x:row>
    <x:row r="318">
      <x:c r="A318" s="34"/>
      <x:c r="B318" s="172"/>
      <x:c r="C318" s="34"/>
      <x:c r="D318" s="34"/>
      <x:c r="E318" s="34"/>
      <x:c r="F318" s="34"/>
      <x:c r="G318" s="34"/>
      <x:c r="H318" s="81"/>
      <x:c r="I318" s="34"/>
      <x:c r="J318" s="34"/>
      <x:c r="K318" s="79"/>
      <x:c r="L318" s="34"/>
      <x:c r="M318" s="34"/>
      <x:c r="N318" s="34"/>
      <x:c r="O318" s="34"/>
      <x:c r="P318" s="35"/>
    </x:row>
    <x:row r="319">
      <x:c r="A319" s="34"/>
      <x:c r="B319" s="172"/>
      <x:c r="C319" s="34"/>
      <x:c r="D319" s="34"/>
      <x:c r="E319" s="34"/>
      <x:c r="F319" s="34"/>
      <x:c r="G319" s="34"/>
      <x:c r="H319" s="81"/>
      <x:c r="I319" s="34"/>
      <x:c r="J319" s="34"/>
      <x:c r="K319" s="79"/>
      <x:c r="L319" s="34"/>
      <x:c r="M319" s="34"/>
      <x:c r="N319" s="34"/>
      <x:c r="O319" s="34"/>
      <x:c r="P319" s="35"/>
    </x:row>
    <x:row r="320">
      <x:c r="A320" s="34"/>
      <x:c r="B320" s="172"/>
      <x:c r="C320" s="34"/>
      <x:c r="D320" s="34"/>
      <x:c r="E320" s="34"/>
      <x:c r="F320" s="34"/>
      <x:c r="G320" s="34"/>
      <x:c r="H320" s="81"/>
      <x:c r="I320" s="34"/>
      <x:c r="J320" s="34"/>
      <x:c r="K320" s="79"/>
      <x:c r="L320" s="34"/>
      <x:c r="M320" s="34"/>
      <x:c r="N320" s="34"/>
      <x:c r="O320" s="34"/>
      <x:c r="P320" s="35"/>
    </x:row>
    <x:row r="321">
      <x:c r="A321" s="34"/>
      <x:c r="B321" s="172"/>
      <x:c r="C321" s="34"/>
      <x:c r="D321" s="34"/>
      <x:c r="E321" s="34"/>
      <x:c r="F321" s="34"/>
      <x:c r="G321" s="34"/>
      <x:c r="H321" s="81"/>
      <x:c r="I321" s="34"/>
      <x:c r="J321" s="34"/>
      <x:c r="K321" s="79"/>
      <x:c r="L321" s="34"/>
      <x:c r="M321" s="34"/>
      <x:c r="N321" s="34"/>
      <x:c r="O321" s="34"/>
      <x:c r="P321" s="35"/>
    </x:row>
    <x:row r="322">
      <x:c r="A322" s="34"/>
      <x:c r="B322" s="172"/>
      <x:c r="C322" s="34"/>
      <x:c r="D322" s="34"/>
      <x:c r="E322" s="34"/>
      <x:c r="F322" s="34"/>
      <x:c r="G322" s="34"/>
      <x:c r="H322" s="81"/>
      <x:c r="I322" s="34"/>
      <x:c r="J322" s="34"/>
      <x:c r="K322" s="79"/>
      <x:c r="L322" s="34"/>
      <x:c r="M322" s="34"/>
      <x:c r="N322" s="34"/>
      <x:c r="O322" s="34"/>
      <x:c r="P322" s="35"/>
    </x:row>
    <x:row r="323">
      <x:c r="A323" s="34"/>
      <x:c r="B323" s="172"/>
      <x:c r="C323" s="34"/>
      <x:c r="D323" s="34"/>
      <x:c r="E323" s="34"/>
      <x:c r="F323" s="34"/>
      <x:c r="G323" s="34"/>
      <x:c r="H323" s="81"/>
      <x:c r="I323" s="34"/>
      <x:c r="J323" s="34"/>
      <x:c r="K323" s="79"/>
      <x:c r="L323" s="34"/>
      <x:c r="M323" s="34"/>
      <x:c r="N323" s="34"/>
      <x:c r="O323" s="34"/>
      <x:c r="P323" s="35"/>
    </x:row>
    <x:row r="324">
      <x:c r="A324" s="34"/>
      <x:c r="B324" s="172"/>
      <x:c r="C324" s="34"/>
      <x:c r="D324" s="34"/>
      <x:c r="E324" s="34"/>
      <x:c r="F324" s="34"/>
      <x:c r="G324" s="34"/>
      <x:c r="H324" s="81"/>
      <x:c r="I324" s="34"/>
      <x:c r="J324" s="34"/>
      <x:c r="K324" s="79"/>
      <x:c r="L324" s="34"/>
      <x:c r="M324" s="34"/>
      <x:c r="N324" s="34"/>
      <x:c r="O324" s="34"/>
      <x:c r="P324" s="35"/>
    </x:row>
    <x:row r="325">
      <x:c r="A325" s="34"/>
      <x:c r="B325" s="172"/>
      <x:c r="C325" s="34"/>
      <x:c r="D325" s="34"/>
      <x:c r="E325" s="34"/>
      <x:c r="F325" s="34"/>
      <x:c r="G325" s="34"/>
      <x:c r="H325" s="81"/>
      <x:c r="I325" s="34"/>
      <x:c r="J325" s="34"/>
      <x:c r="K325" s="79"/>
      <x:c r="L325" s="34"/>
      <x:c r="M325" s="34"/>
      <x:c r="N325" s="34"/>
      <x:c r="O325" s="34"/>
      <x:c r="P325" s="35"/>
    </x:row>
    <x:row r="326">
      <x:c r="A326" s="34"/>
      <x:c r="B326" s="172"/>
      <x:c r="C326" s="34"/>
      <x:c r="D326" s="34"/>
      <x:c r="E326" s="34"/>
      <x:c r="F326" s="34"/>
      <x:c r="G326" s="34"/>
      <x:c r="H326" s="81"/>
      <x:c r="I326" s="34"/>
      <x:c r="J326" s="34"/>
      <x:c r="K326" s="79"/>
      <x:c r="L326" s="34"/>
      <x:c r="M326" s="34"/>
      <x:c r="N326" s="34"/>
      <x:c r="O326" s="34"/>
      <x:c r="P326" s="35"/>
    </x:row>
    <x:row r="327">
      <x:c r="A327" s="34"/>
      <x:c r="B327" s="172"/>
      <x:c r="C327" s="34"/>
      <x:c r="D327" s="34"/>
      <x:c r="E327" s="34"/>
      <x:c r="F327" s="34"/>
      <x:c r="G327" s="34"/>
      <x:c r="H327" s="81"/>
      <x:c r="I327" s="34"/>
      <x:c r="J327" s="34"/>
      <x:c r="K327" s="79"/>
      <x:c r="L327" s="34"/>
      <x:c r="M327" s="34"/>
      <x:c r="N327" s="34"/>
      <x:c r="O327" s="34"/>
      <x:c r="P327" s="35"/>
    </x:row>
    <x:row r="328">
      <x:c r="A328" s="34"/>
      <x:c r="B328" s="172"/>
      <x:c r="C328" s="34"/>
      <x:c r="D328" s="34"/>
      <x:c r="E328" s="34"/>
      <x:c r="F328" s="34"/>
      <x:c r="G328" s="34"/>
      <x:c r="H328" s="81"/>
      <x:c r="I328" s="34"/>
      <x:c r="J328" s="34"/>
      <x:c r="K328" s="79"/>
      <x:c r="L328" s="34"/>
      <x:c r="M328" s="34"/>
      <x:c r="N328" s="34"/>
      <x:c r="O328" s="34"/>
      <x:c r="P328" s="35"/>
    </x:row>
    <x:row r="329">
      <x:c r="A329" s="34"/>
      <x:c r="B329" s="172"/>
      <x:c r="C329" s="34"/>
      <x:c r="D329" s="34"/>
      <x:c r="E329" s="34"/>
      <x:c r="F329" s="34"/>
      <x:c r="G329" s="34"/>
      <x:c r="H329" s="81"/>
      <x:c r="I329" s="34"/>
      <x:c r="J329" s="34"/>
      <x:c r="K329" s="79"/>
      <x:c r="L329" s="34"/>
      <x:c r="M329" s="34"/>
      <x:c r="N329" s="34"/>
      <x:c r="O329" s="34"/>
      <x:c r="P329" s="35"/>
    </x:row>
    <x:row r="330">
      <x:c r="A330" s="34"/>
      <x:c r="B330" s="172"/>
      <x:c r="C330" s="34"/>
      <x:c r="D330" s="34"/>
      <x:c r="E330" s="34"/>
      <x:c r="F330" s="34"/>
      <x:c r="G330" s="34"/>
      <x:c r="H330" s="81"/>
      <x:c r="I330" s="34"/>
      <x:c r="J330" s="34"/>
      <x:c r="K330" s="79"/>
      <x:c r="L330" s="34"/>
      <x:c r="M330" s="34"/>
      <x:c r="N330" s="34"/>
      <x:c r="O330" s="34"/>
      <x:c r="P330" s="35"/>
    </x:row>
    <x:row r="331">
      <x:c r="A331" s="34"/>
      <x:c r="B331" s="172"/>
      <x:c r="C331" s="34"/>
      <x:c r="D331" s="34"/>
      <x:c r="E331" s="34"/>
      <x:c r="F331" s="34"/>
      <x:c r="G331" s="34"/>
      <x:c r="H331" s="81"/>
      <x:c r="I331" s="34"/>
      <x:c r="J331" s="34"/>
      <x:c r="K331" s="79"/>
      <x:c r="L331" s="34"/>
      <x:c r="M331" s="34"/>
      <x:c r="N331" s="34"/>
      <x:c r="O331" s="34"/>
      <x:c r="P331" s="35"/>
    </x:row>
    <x:row r="332">
      <x:c r="A332" s="34"/>
      <x:c r="B332" s="172"/>
      <x:c r="C332" s="34"/>
      <x:c r="D332" s="34"/>
      <x:c r="E332" s="34"/>
      <x:c r="F332" s="34"/>
      <x:c r="G332" s="34"/>
      <x:c r="H332" s="81"/>
      <x:c r="I332" s="34"/>
      <x:c r="J332" s="34"/>
      <x:c r="K332" s="79"/>
      <x:c r="L332" s="34"/>
      <x:c r="M332" s="34"/>
      <x:c r="N332" s="34"/>
      <x:c r="O332" s="34"/>
      <x:c r="P332" s="35"/>
    </x:row>
    <x:row r="333">
      <x:c r="A333" s="34"/>
      <x:c r="B333" s="172"/>
      <x:c r="C333" s="34"/>
      <x:c r="D333" s="34"/>
      <x:c r="E333" s="34"/>
      <x:c r="F333" s="34"/>
      <x:c r="G333" s="34"/>
      <x:c r="H333" s="81"/>
      <x:c r="I333" s="34"/>
      <x:c r="J333" s="34"/>
      <x:c r="K333" s="79"/>
      <x:c r="L333" s="34"/>
      <x:c r="M333" s="34"/>
      <x:c r="N333" s="34"/>
      <x:c r="O333" s="34"/>
      <x:c r="P333" s="35"/>
    </x:row>
    <x:row r="334">
      <x:c r="A334" s="34"/>
      <x:c r="B334" s="172"/>
      <x:c r="C334" s="34"/>
      <x:c r="D334" s="34"/>
      <x:c r="E334" s="34"/>
      <x:c r="F334" s="34"/>
      <x:c r="G334" s="34"/>
      <x:c r="H334" s="81"/>
      <x:c r="I334" s="34"/>
      <x:c r="J334" s="34"/>
      <x:c r="K334" s="79"/>
      <x:c r="L334" s="34"/>
      <x:c r="M334" s="34"/>
      <x:c r="N334" s="34"/>
      <x:c r="O334" s="34"/>
      <x:c r="P334" s="35"/>
    </x:row>
    <x:row r="335">
      <x:c r="A335" s="34"/>
      <x:c r="B335" s="172"/>
      <x:c r="C335" s="34"/>
      <x:c r="D335" s="34"/>
      <x:c r="E335" s="34"/>
      <x:c r="F335" s="34"/>
      <x:c r="G335" s="34"/>
      <x:c r="H335" s="81"/>
      <x:c r="I335" s="34"/>
      <x:c r="J335" s="34"/>
      <x:c r="K335" s="79"/>
      <x:c r="L335" s="34"/>
      <x:c r="M335" s="34"/>
      <x:c r="N335" s="34"/>
      <x:c r="O335" s="34"/>
      <x:c r="P335" s="35"/>
    </x:row>
    <x:row r="336">
      <x:c r="A336" s="34"/>
      <x:c r="B336" s="172"/>
      <x:c r="C336" s="34"/>
      <x:c r="D336" s="34"/>
      <x:c r="E336" s="34"/>
      <x:c r="F336" s="34"/>
      <x:c r="G336" s="34"/>
      <x:c r="H336" s="81"/>
      <x:c r="I336" s="34"/>
      <x:c r="J336" s="34"/>
      <x:c r="K336" s="79"/>
      <x:c r="L336" s="34"/>
      <x:c r="M336" s="34"/>
      <x:c r="N336" s="34"/>
      <x:c r="O336" s="34"/>
      <x:c r="P336" s="35"/>
    </x:row>
    <x:row r="337">
      <x:c r="A337" s="34"/>
      <x:c r="B337" s="172"/>
      <x:c r="C337" s="34"/>
      <x:c r="D337" s="34"/>
      <x:c r="E337" s="34"/>
      <x:c r="F337" s="34"/>
      <x:c r="G337" s="34"/>
      <x:c r="H337" s="81"/>
      <x:c r="I337" s="34"/>
      <x:c r="J337" s="34"/>
      <x:c r="K337" s="79"/>
      <x:c r="L337" s="34"/>
      <x:c r="M337" s="34"/>
      <x:c r="N337" s="34"/>
      <x:c r="O337" s="34"/>
      <x:c r="P337" s="35"/>
    </x:row>
    <x:row r="338">
      <x:c r="A338" s="34"/>
      <x:c r="B338" s="172"/>
      <x:c r="C338" s="34"/>
      <x:c r="D338" s="34"/>
      <x:c r="E338" s="34"/>
      <x:c r="F338" s="34"/>
      <x:c r="G338" s="34"/>
      <x:c r="H338" s="81"/>
      <x:c r="I338" s="34"/>
      <x:c r="J338" s="34"/>
      <x:c r="K338" s="79"/>
      <x:c r="L338" s="34"/>
      <x:c r="M338" s="34"/>
      <x:c r="N338" s="34"/>
      <x:c r="O338" s="34"/>
      <x:c r="P338" s="35"/>
    </x:row>
    <x:row r="339">
      <x:c r="A339" s="34"/>
      <x:c r="B339" s="172"/>
      <x:c r="C339" s="34"/>
      <x:c r="D339" s="34"/>
      <x:c r="E339" s="34"/>
      <x:c r="F339" s="34"/>
      <x:c r="G339" s="34"/>
      <x:c r="H339" s="81"/>
      <x:c r="I339" s="34"/>
      <x:c r="J339" s="34"/>
      <x:c r="K339" s="79"/>
      <x:c r="L339" s="34"/>
      <x:c r="M339" s="34"/>
      <x:c r="N339" s="34"/>
      <x:c r="O339" s="34"/>
      <x:c r="P339" s="35"/>
    </x:row>
    <x:row r="340">
      <x:c r="A340" s="34"/>
      <x:c r="B340" s="172"/>
      <x:c r="C340" s="34"/>
      <x:c r="D340" s="34"/>
      <x:c r="E340" s="34"/>
      <x:c r="F340" s="34"/>
      <x:c r="G340" s="34"/>
      <x:c r="H340" s="81"/>
      <x:c r="I340" s="34"/>
      <x:c r="J340" s="34"/>
      <x:c r="K340" s="79"/>
      <x:c r="L340" s="34"/>
      <x:c r="M340" s="34"/>
      <x:c r="N340" s="34"/>
      <x:c r="O340" s="34"/>
      <x:c r="P340" s="35"/>
    </x:row>
    <x:row r="341">
      <x:c r="A341" s="34"/>
      <x:c r="B341" s="172"/>
      <x:c r="C341" s="34"/>
      <x:c r="D341" s="34"/>
      <x:c r="E341" s="34"/>
      <x:c r="F341" s="34"/>
      <x:c r="G341" s="34"/>
      <x:c r="H341" s="81"/>
      <x:c r="I341" s="34"/>
      <x:c r="J341" s="34"/>
      <x:c r="K341" s="79"/>
      <x:c r="L341" s="34"/>
      <x:c r="M341" s="34"/>
      <x:c r="N341" s="34"/>
      <x:c r="O341" s="34"/>
      <x:c r="P341" s="35"/>
    </x:row>
    <x:row r="342">
      <x:c r="A342" s="34"/>
      <x:c r="B342" s="172"/>
      <x:c r="C342" s="34"/>
      <x:c r="D342" s="34"/>
      <x:c r="E342" s="34"/>
      <x:c r="F342" s="34"/>
      <x:c r="G342" s="34"/>
      <x:c r="H342" s="81"/>
      <x:c r="I342" s="34"/>
      <x:c r="J342" s="34"/>
      <x:c r="K342" s="79"/>
      <x:c r="L342" s="34"/>
      <x:c r="M342" s="34"/>
      <x:c r="N342" s="34"/>
      <x:c r="O342" s="34"/>
      <x:c r="P342" s="35"/>
    </x:row>
    <x:row r="343">
      <x:c r="A343" s="34"/>
      <x:c r="B343" s="172"/>
      <x:c r="C343" s="34"/>
      <x:c r="D343" s="34"/>
      <x:c r="E343" s="34"/>
      <x:c r="F343" s="34"/>
      <x:c r="G343" s="34"/>
      <x:c r="H343" s="81"/>
      <x:c r="I343" s="34"/>
      <x:c r="J343" s="34"/>
      <x:c r="K343" s="79"/>
      <x:c r="L343" s="34"/>
      <x:c r="M343" s="34"/>
      <x:c r="N343" s="34"/>
      <x:c r="O343" s="34"/>
      <x:c r="P343" s="35"/>
    </x:row>
    <x:row r="344">
      <x:c r="A344" s="34"/>
      <x:c r="B344" s="172"/>
      <x:c r="C344" s="34"/>
      <x:c r="D344" s="34"/>
      <x:c r="E344" s="34"/>
      <x:c r="F344" s="34"/>
      <x:c r="G344" s="34"/>
      <x:c r="H344" s="81"/>
      <x:c r="I344" s="34"/>
      <x:c r="J344" s="34"/>
      <x:c r="K344" s="79"/>
      <x:c r="L344" s="34"/>
      <x:c r="M344" s="34"/>
      <x:c r="N344" s="34"/>
      <x:c r="O344" s="34"/>
      <x:c r="P344" s="35"/>
    </x:row>
    <x:row r="345">
      <x:c r="A345" s="34"/>
      <x:c r="B345" s="172"/>
      <x:c r="C345" s="34"/>
      <x:c r="D345" s="34"/>
      <x:c r="E345" s="34"/>
      <x:c r="F345" s="34"/>
      <x:c r="G345" s="34"/>
      <x:c r="H345" s="81"/>
      <x:c r="I345" s="34"/>
      <x:c r="J345" s="34"/>
      <x:c r="K345" s="79"/>
      <x:c r="L345" s="34"/>
      <x:c r="M345" s="34"/>
      <x:c r="N345" s="34"/>
      <x:c r="O345" s="34"/>
      <x:c r="P345" s="35"/>
    </x:row>
    <x:row r="346">
      <x:c r="A346" s="34"/>
      <x:c r="B346" s="172"/>
      <x:c r="C346" s="34"/>
      <x:c r="D346" s="34"/>
      <x:c r="E346" s="34"/>
      <x:c r="F346" s="34"/>
      <x:c r="G346" s="34"/>
      <x:c r="H346" s="81"/>
      <x:c r="I346" s="34"/>
      <x:c r="J346" s="34"/>
      <x:c r="K346" s="79"/>
      <x:c r="L346" s="34"/>
      <x:c r="M346" s="34"/>
      <x:c r="N346" s="34"/>
      <x:c r="O346" s="34"/>
      <x:c r="P346" s="35"/>
    </x:row>
    <x:row r="347">
      <x:c r="A347" s="34"/>
      <x:c r="B347" s="172"/>
      <x:c r="C347" s="34"/>
      <x:c r="D347" s="34"/>
      <x:c r="E347" s="34"/>
      <x:c r="F347" s="34"/>
      <x:c r="G347" s="34"/>
      <x:c r="H347" s="81"/>
      <x:c r="I347" s="34"/>
      <x:c r="J347" s="34"/>
      <x:c r="K347" s="79"/>
      <x:c r="L347" s="34"/>
      <x:c r="M347" s="34"/>
      <x:c r="N347" s="34"/>
      <x:c r="O347" s="34"/>
      <x:c r="P347" s="35"/>
    </x:row>
    <x:row r="348">
      <x:c r="A348" s="34"/>
      <x:c r="B348" s="172"/>
      <x:c r="C348" s="34"/>
      <x:c r="D348" s="34"/>
      <x:c r="E348" s="34"/>
      <x:c r="F348" s="34"/>
      <x:c r="G348" s="34"/>
      <x:c r="H348" s="81"/>
      <x:c r="I348" s="34"/>
      <x:c r="J348" s="34"/>
      <x:c r="K348" s="79"/>
      <x:c r="L348" s="34"/>
      <x:c r="M348" s="34"/>
      <x:c r="N348" s="34"/>
      <x:c r="O348" s="34"/>
      <x:c r="P348" s="35"/>
    </x:row>
    <x:row r="349">
      <x:c r="A349" s="34"/>
      <x:c r="B349" s="172"/>
      <x:c r="C349" s="34"/>
      <x:c r="D349" s="34"/>
      <x:c r="E349" s="34"/>
      <x:c r="F349" s="34"/>
      <x:c r="G349" s="34"/>
      <x:c r="H349" s="81"/>
      <x:c r="I349" s="34"/>
      <x:c r="J349" s="34"/>
      <x:c r="K349" s="79"/>
      <x:c r="L349" s="34"/>
      <x:c r="M349" s="34"/>
      <x:c r="N349" s="34"/>
      <x:c r="O349" s="34"/>
      <x:c r="P349" s="35"/>
    </x:row>
    <x:row r="350">
      <x:c r="A350" s="34"/>
      <x:c r="B350" s="172"/>
      <x:c r="C350" s="34"/>
      <x:c r="D350" s="34"/>
      <x:c r="E350" s="34"/>
      <x:c r="F350" s="34"/>
      <x:c r="G350" s="34"/>
      <x:c r="H350" s="81"/>
      <x:c r="I350" s="34"/>
      <x:c r="J350" s="34"/>
      <x:c r="K350" s="79"/>
      <x:c r="L350" s="34"/>
      <x:c r="M350" s="34"/>
      <x:c r="N350" s="34"/>
      <x:c r="O350" s="34"/>
      <x:c r="P350" s="35"/>
    </x:row>
    <x:row r="351">
      <x:c r="A351" s="34"/>
      <x:c r="B351" s="172"/>
      <x:c r="C351" s="34"/>
      <x:c r="D351" s="34"/>
      <x:c r="E351" s="34"/>
      <x:c r="F351" s="34"/>
      <x:c r="G351" s="34"/>
      <x:c r="H351" s="81"/>
      <x:c r="I351" s="34"/>
      <x:c r="J351" s="34"/>
      <x:c r="K351" s="79"/>
      <x:c r="L351" s="34"/>
      <x:c r="M351" s="34"/>
      <x:c r="N351" s="34"/>
      <x:c r="O351" s="34"/>
      <x:c r="P351" s="35"/>
    </x:row>
    <x:row r="352">
      <x:c r="A352" s="34"/>
      <x:c r="B352" s="172"/>
      <x:c r="C352" s="34"/>
      <x:c r="D352" s="34"/>
      <x:c r="E352" s="34"/>
      <x:c r="F352" s="34"/>
      <x:c r="G352" s="34"/>
      <x:c r="H352" s="81"/>
      <x:c r="I352" s="34"/>
      <x:c r="J352" s="34"/>
      <x:c r="K352" s="79"/>
      <x:c r="L352" s="34"/>
      <x:c r="M352" s="34"/>
      <x:c r="N352" s="34"/>
      <x:c r="O352" s="34"/>
      <x:c r="P352" s="35"/>
    </x:row>
    <x:row r="353">
      <x:c r="A353" s="34"/>
      <x:c r="B353" s="172"/>
      <x:c r="C353" s="34"/>
      <x:c r="D353" s="34"/>
      <x:c r="E353" s="34"/>
      <x:c r="F353" s="34"/>
      <x:c r="G353" s="34"/>
      <x:c r="H353" s="81"/>
      <x:c r="I353" s="34"/>
      <x:c r="J353" s="34"/>
      <x:c r="K353" s="79"/>
      <x:c r="L353" s="34"/>
      <x:c r="M353" s="34"/>
      <x:c r="N353" s="34"/>
      <x:c r="O353" s="34"/>
      <x:c r="P353" s="35"/>
    </x:row>
    <x:row r="354">
      <x:c r="A354" s="34"/>
      <x:c r="B354" s="172"/>
      <x:c r="C354" s="34"/>
      <x:c r="D354" s="34"/>
      <x:c r="E354" s="34"/>
      <x:c r="F354" s="34"/>
      <x:c r="G354" s="34"/>
      <x:c r="H354" s="81"/>
      <x:c r="I354" s="34"/>
      <x:c r="J354" s="34"/>
      <x:c r="K354" s="79"/>
      <x:c r="L354" s="34"/>
      <x:c r="M354" s="34"/>
      <x:c r="N354" s="34"/>
      <x:c r="O354" s="34"/>
      <x:c r="P354" s="35"/>
    </x:row>
    <x:row r="355">
      <x:c r="A355" s="34"/>
      <x:c r="B355" s="172"/>
      <x:c r="C355" s="34"/>
      <x:c r="D355" s="34"/>
      <x:c r="E355" s="34"/>
      <x:c r="F355" s="34"/>
      <x:c r="G355" s="34"/>
      <x:c r="H355" s="81"/>
      <x:c r="I355" s="34"/>
      <x:c r="J355" s="34"/>
      <x:c r="K355" s="79"/>
      <x:c r="L355" s="34"/>
      <x:c r="M355" s="34"/>
      <x:c r="N355" s="34"/>
      <x:c r="O355" s="34"/>
      <x:c r="P355" s="35"/>
    </x:row>
    <x:row r="356">
      <x:c r="A356" s="34"/>
      <x:c r="B356" s="172"/>
      <x:c r="C356" s="34"/>
      <x:c r="D356" s="34"/>
      <x:c r="E356" s="34"/>
      <x:c r="F356" s="34"/>
      <x:c r="G356" s="34"/>
      <x:c r="H356" s="81"/>
      <x:c r="I356" s="34"/>
      <x:c r="J356" s="34"/>
      <x:c r="K356" s="79"/>
      <x:c r="L356" s="34"/>
      <x:c r="M356" s="34"/>
      <x:c r="N356" s="34"/>
      <x:c r="O356" s="34"/>
      <x:c r="P356" s="35"/>
    </x:row>
    <x:row r="357">
      <x:c r="A357" s="34"/>
      <x:c r="B357" s="172"/>
      <x:c r="C357" s="34"/>
      <x:c r="D357" s="34"/>
      <x:c r="E357" s="34"/>
      <x:c r="F357" s="34"/>
      <x:c r="G357" s="34"/>
      <x:c r="H357" s="81"/>
      <x:c r="I357" s="34"/>
      <x:c r="J357" s="34"/>
      <x:c r="K357" s="79"/>
      <x:c r="L357" s="34"/>
      <x:c r="M357" s="34"/>
      <x:c r="N357" s="34"/>
      <x:c r="O357" s="34"/>
      <x:c r="P357" s="35"/>
    </x:row>
    <x:row r="358">
      <x:c r="A358" s="34"/>
      <x:c r="B358" s="172"/>
      <x:c r="C358" s="34"/>
      <x:c r="D358" s="34"/>
      <x:c r="E358" s="34"/>
      <x:c r="F358" s="34"/>
      <x:c r="G358" s="34"/>
      <x:c r="H358" s="81"/>
      <x:c r="I358" s="34"/>
      <x:c r="J358" s="34"/>
      <x:c r="K358" s="79"/>
      <x:c r="L358" s="34"/>
      <x:c r="M358" s="34"/>
      <x:c r="N358" s="34"/>
      <x:c r="O358" s="34"/>
      <x:c r="P358" s="35"/>
    </x:row>
    <x:row r="359">
      <x:c r="A359" s="34"/>
      <x:c r="B359" s="172"/>
      <x:c r="C359" s="34"/>
      <x:c r="D359" s="34"/>
      <x:c r="E359" s="34"/>
      <x:c r="F359" s="34"/>
      <x:c r="G359" s="34"/>
      <x:c r="H359" s="81"/>
      <x:c r="I359" s="34"/>
      <x:c r="J359" s="34"/>
      <x:c r="K359" s="79"/>
      <x:c r="L359" s="34"/>
      <x:c r="M359" s="34"/>
      <x:c r="N359" s="34"/>
      <x:c r="O359" s="34"/>
      <x:c r="P359" s="35"/>
    </x:row>
    <x:row r="360">
      <x:c r="A360" s="34"/>
      <x:c r="B360" s="172"/>
      <x:c r="C360" s="34"/>
      <x:c r="D360" s="34"/>
      <x:c r="E360" s="34"/>
      <x:c r="F360" s="34"/>
      <x:c r="G360" s="34"/>
      <x:c r="H360" s="81"/>
      <x:c r="I360" s="34"/>
      <x:c r="J360" s="34"/>
      <x:c r="K360" s="79"/>
      <x:c r="L360" s="34"/>
      <x:c r="M360" s="34"/>
      <x:c r="N360" s="34"/>
      <x:c r="O360" s="34"/>
      <x:c r="P360" s="35"/>
    </x:row>
    <x:row r="361">
      <x:c r="A361" s="34"/>
      <x:c r="B361" s="172"/>
      <x:c r="C361" s="34"/>
      <x:c r="D361" s="34"/>
      <x:c r="E361" s="34"/>
      <x:c r="F361" s="34"/>
      <x:c r="G361" s="34"/>
      <x:c r="H361" s="81"/>
      <x:c r="I361" s="34"/>
      <x:c r="J361" s="34"/>
      <x:c r="K361" s="79"/>
      <x:c r="L361" s="34"/>
      <x:c r="M361" s="34"/>
      <x:c r="N361" s="34"/>
      <x:c r="O361" s="34"/>
      <x:c r="P361" s="35"/>
    </x:row>
    <x:row r="362">
      <x:c r="A362" s="34"/>
      <x:c r="B362" s="172"/>
      <x:c r="C362" s="34"/>
      <x:c r="D362" s="34"/>
      <x:c r="E362" s="34"/>
      <x:c r="F362" s="34"/>
      <x:c r="G362" s="34"/>
      <x:c r="H362" s="81"/>
      <x:c r="I362" s="34"/>
      <x:c r="J362" s="34"/>
      <x:c r="K362" s="79"/>
      <x:c r="L362" s="34"/>
      <x:c r="M362" s="34"/>
      <x:c r="N362" s="34"/>
      <x:c r="O362" s="34"/>
      <x:c r="P362" s="35"/>
    </x:row>
    <x:row r="363">
      <x:c r="A363" s="34"/>
      <x:c r="B363" s="172"/>
      <x:c r="C363" s="34"/>
      <x:c r="D363" s="34"/>
      <x:c r="E363" s="34"/>
      <x:c r="F363" s="34"/>
      <x:c r="G363" s="34"/>
      <x:c r="H363" s="81"/>
      <x:c r="I363" s="34"/>
      <x:c r="J363" s="34"/>
      <x:c r="K363" s="79"/>
      <x:c r="L363" s="34"/>
      <x:c r="M363" s="34"/>
      <x:c r="N363" s="34"/>
      <x:c r="O363" s="34"/>
      <x:c r="P363" s="35"/>
    </x:row>
    <x:row r="364">
      <x:c r="A364" s="34"/>
      <x:c r="B364" s="172"/>
      <x:c r="C364" s="34"/>
      <x:c r="D364" s="34"/>
      <x:c r="E364" s="34"/>
      <x:c r="F364" s="34"/>
      <x:c r="G364" s="34"/>
      <x:c r="H364" s="81"/>
      <x:c r="I364" s="34"/>
      <x:c r="J364" s="34"/>
      <x:c r="K364" s="79"/>
      <x:c r="L364" s="34"/>
      <x:c r="M364" s="34"/>
      <x:c r="N364" s="34"/>
      <x:c r="O364" s="34"/>
      <x:c r="P364" s="35"/>
    </x:row>
    <x:row r="365">
      <x:c r="A365" s="34"/>
      <x:c r="B365" s="172"/>
      <x:c r="C365" s="34"/>
      <x:c r="D365" s="34"/>
      <x:c r="E365" s="34"/>
      <x:c r="F365" s="34"/>
      <x:c r="G365" s="34"/>
      <x:c r="H365" s="81"/>
      <x:c r="I365" s="34"/>
      <x:c r="J365" s="34"/>
      <x:c r="K365" s="79"/>
      <x:c r="L365" s="34"/>
      <x:c r="M365" s="34"/>
      <x:c r="N365" s="34"/>
      <x:c r="O365" s="34"/>
      <x:c r="P365" s="35"/>
    </x:row>
    <x:row r="366">
      <x:c r="A366" s="34"/>
      <x:c r="B366" s="172"/>
      <x:c r="C366" s="34"/>
      <x:c r="D366" s="34"/>
      <x:c r="E366" s="34"/>
      <x:c r="F366" s="34"/>
      <x:c r="G366" s="34"/>
      <x:c r="H366" s="81"/>
      <x:c r="I366" s="34"/>
      <x:c r="J366" s="34"/>
      <x:c r="K366" s="79"/>
      <x:c r="L366" s="34"/>
      <x:c r="M366" s="34"/>
      <x:c r="N366" s="34"/>
      <x:c r="O366" s="34"/>
      <x:c r="P366" s="35"/>
    </x:row>
    <x:row r="367">
      <x:c r="A367" s="34"/>
      <x:c r="B367" s="172"/>
      <x:c r="C367" s="34"/>
      <x:c r="D367" s="34"/>
      <x:c r="E367" s="34"/>
      <x:c r="F367" s="34"/>
      <x:c r="G367" s="34"/>
      <x:c r="H367" s="81"/>
      <x:c r="I367" s="34"/>
      <x:c r="J367" s="34"/>
      <x:c r="K367" s="79"/>
      <x:c r="L367" s="34"/>
      <x:c r="M367" s="34"/>
      <x:c r="N367" s="34"/>
      <x:c r="O367" s="34"/>
      <x:c r="P367" s="35"/>
    </x:row>
    <x:row r="368">
      <x:c r="A368" s="34"/>
      <x:c r="B368" s="172"/>
      <x:c r="C368" s="34"/>
      <x:c r="D368" s="34"/>
      <x:c r="E368" s="34"/>
      <x:c r="F368" s="34"/>
      <x:c r="G368" s="34"/>
      <x:c r="H368" s="81"/>
      <x:c r="I368" s="34"/>
      <x:c r="J368" s="34"/>
      <x:c r="K368" s="79"/>
      <x:c r="L368" s="34"/>
      <x:c r="M368" s="34"/>
      <x:c r="N368" s="34"/>
      <x:c r="O368" s="34"/>
      <x:c r="P368" s="35"/>
    </x:row>
    <x:row r="369">
      <x:c r="A369" s="34"/>
      <x:c r="B369" s="172"/>
      <x:c r="C369" s="34"/>
      <x:c r="D369" s="34"/>
      <x:c r="E369" s="34"/>
      <x:c r="F369" s="34"/>
      <x:c r="G369" s="34"/>
      <x:c r="H369" s="81"/>
      <x:c r="I369" s="34"/>
      <x:c r="J369" s="34"/>
      <x:c r="K369" s="79"/>
      <x:c r="L369" s="34"/>
      <x:c r="M369" s="34"/>
      <x:c r="N369" s="34"/>
      <x:c r="O369" s="34"/>
      <x:c r="P369" s="35"/>
    </x:row>
    <x:row r="370">
      <x:c r="A370" s="34"/>
      <x:c r="B370" s="172"/>
      <x:c r="C370" s="34"/>
      <x:c r="D370" s="34"/>
      <x:c r="E370" s="34"/>
      <x:c r="F370" s="34"/>
      <x:c r="G370" s="34"/>
      <x:c r="H370" s="81"/>
      <x:c r="I370" s="34"/>
      <x:c r="J370" s="34"/>
      <x:c r="K370" s="79"/>
      <x:c r="L370" s="34"/>
      <x:c r="M370" s="34"/>
      <x:c r="N370" s="34"/>
      <x:c r="O370" s="34"/>
      <x:c r="P370" s="35"/>
    </x:row>
    <x:row r="371">
      <x:c r="A371" s="34"/>
      <x:c r="B371" s="172"/>
      <x:c r="C371" s="34"/>
      <x:c r="D371" s="34"/>
      <x:c r="E371" s="34"/>
      <x:c r="F371" s="34"/>
      <x:c r="G371" s="34"/>
      <x:c r="H371" s="81"/>
      <x:c r="I371" s="34"/>
      <x:c r="J371" s="34"/>
      <x:c r="K371" s="79"/>
      <x:c r="L371" s="34"/>
      <x:c r="M371" s="34"/>
      <x:c r="N371" s="34"/>
      <x:c r="O371" s="34"/>
      <x:c r="P371" s="35"/>
    </x:row>
    <x:row r="372">
      <x:c r="A372" s="34"/>
      <x:c r="B372" s="172"/>
      <x:c r="C372" s="34"/>
      <x:c r="D372" s="34"/>
      <x:c r="E372" s="34"/>
      <x:c r="F372" s="34"/>
      <x:c r="G372" s="34"/>
      <x:c r="H372" s="81"/>
      <x:c r="I372" s="34"/>
      <x:c r="J372" s="34"/>
      <x:c r="K372" s="79"/>
      <x:c r="L372" s="34"/>
      <x:c r="M372" s="34"/>
      <x:c r="N372" s="34"/>
      <x:c r="O372" s="34"/>
      <x:c r="P372" s="35"/>
    </x:row>
    <x:row r="373">
      <x:c r="A373" s="34"/>
      <x:c r="B373" s="172"/>
      <x:c r="C373" s="34"/>
      <x:c r="D373" s="34"/>
      <x:c r="E373" s="34"/>
      <x:c r="F373" s="34"/>
      <x:c r="G373" s="34"/>
      <x:c r="H373" s="81"/>
      <x:c r="I373" s="34"/>
      <x:c r="J373" s="34"/>
      <x:c r="K373" s="79"/>
      <x:c r="L373" s="34"/>
      <x:c r="M373" s="34"/>
      <x:c r="N373" s="34"/>
      <x:c r="O373" s="34"/>
      <x:c r="P373" s="35"/>
    </x:row>
    <x:row r="374">
      <x:c r="A374" s="34"/>
      <x:c r="B374" s="172"/>
      <x:c r="C374" s="34"/>
      <x:c r="D374" s="34"/>
      <x:c r="E374" s="34"/>
      <x:c r="F374" s="34"/>
      <x:c r="G374" s="34"/>
      <x:c r="H374" s="81"/>
      <x:c r="I374" s="34"/>
      <x:c r="J374" s="34"/>
      <x:c r="K374" s="79"/>
      <x:c r="L374" s="34"/>
      <x:c r="M374" s="34"/>
      <x:c r="N374" s="34"/>
      <x:c r="O374" s="34"/>
      <x:c r="P374" s="35"/>
    </x:row>
    <x:row r="375">
      <x:c r="A375" s="34"/>
      <x:c r="B375" s="172"/>
      <x:c r="C375" s="34"/>
      <x:c r="D375" s="34"/>
      <x:c r="E375" s="34"/>
      <x:c r="F375" s="34"/>
      <x:c r="G375" s="34"/>
      <x:c r="H375" s="81"/>
      <x:c r="I375" s="34"/>
      <x:c r="J375" s="34"/>
      <x:c r="K375" s="79"/>
      <x:c r="L375" s="34"/>
      <x:c r="M375" s="34"/>
      <x:c r="N375" s="34"/>
      <x:c r="O375" s="34"/>
      <x:c r="P375" s="35"/>
    </x:row>
    <x:row r="376">
      <x:c r="A376" s="34"/>
      <x:c r="B376" s="172"/>
      <x:c r="C376" s="34"/>
      <x:c r="D376" s="34"/>
      <x:c r="E376" s="34"/>
      <x:c r="F376" s="34"/>
      <x:c r="G376" s="34"/>
      <x:c r="H376" s="81"/>
      <x:c r="I376" s="34"/>
      <x:c r="J376" s="34"/>
      <x:c r="K376" s="79"/>
      <x:c r="L376" s="34"/>
      <x:c r="M376" s="34"/>
      <x:c r="N376" s="34"/>
      <x:c r="O376" s="34"/>
      <x:c r="P376" s="35"/>
    </x:row>
    <x:row r="377">
      <x:c r="A377" s="34"/>
      <x:c r="B377" s="172"/>
      <x:c r="C377" s="34"/>
      <x:c r="D377" s="34"/>
      <x:c r="E377" s="34"/>
      <x:c r="F377" s="34"/>
      <x:c r="G377" s="34"/>
      <x:c r="H377" s="81"/>
      <x:c r="I377" s="34"/>
      <x:c r="J377" s="34"/>
      <x:c r="K377" s="79"/>
      <x:c r="L377" s="34"/>
      <x:c r="M377" s="34"/>
      <x:c r="N377" s="34"/>
      <x:c r="O377" s="34"/>
      <x:c r="P377" s="35"/>
    </x:row>
    <x:row r="378">
      <x:c r="A378" s="34"/>
      <x:c r="B378" s="172"/>
      <x:c r="C378" s="34"/>
      <x:c r="D378" s="34"/>
      <x:c r="E378" s="34"/>
      <x:c r="F378" s="34"/>
      <x:c r="G378" s="34"/>
      <x:c r="H378" s="81"/>
      <x:c r="I378" s="34"/>
      <x:c r="J378" s="34"/>
      <x:c r="K378" s="79"/>
      <x:c r="L378" s="34"/>
      <x:c r="M378" s="34"/>
      <x:c r="N378" s="34"/>
      <x:c r="O378" s="34"/>
      <x:c r="P378" s="35"/>
    </x:row>
    <x:row r="379">
      <x:c r="A379" s="34"/>
      <x:c r="B379" s="172"/>
      <x:c r="C379" s="34"/>
      <x:c r="D379" s="34"/>
      <x:c r="E379" s="34"/>
      <x:c r="F379" s="34"/>
      <x:c r="G379" s="34"/>
      <x:c r="H379" s="81"/>
      <x:c r="I379" s="34"/>
      <x:c r="J379" s="34"/>
      <x:c r="K379" s="79"/>
      <x:c r="L379" s="34"/>
      <x:c r="M379" s="34"/>
      <x:c r="N379" s="34"/>
      <x:c r="O379" s="34"/>
      <x:c r="P379" s="35"/>
    </x:row>
    <x:row r="380">
      <x:c r="A380" s="34"/>
      <x:c r="B380" s="172"/>
      <x:c r="C380" s="34"/>
      <x:c r="D380" s="34"/>
      <x:c r="E380" s="34"/>
      <x:c r="F380" s="34"/>
      <x:c r="G380" s="34"/>
      <x:c r="H380" s="81"/>
      <x:c r="I380" s="34"/>
      <x:c r="J380" s="34"/>
      <x:c r="K380" s="79"/>
      <x:c r="L380" s="34"/>
      <x:c r="M380" s="34"/>
      <x:c r="N380" s="34"/>
      <x:c r="O380" s="34"/>
      <x:c r="P380" s="35"/>
    </x:row>
    <x:row r="381">
      <x:c r="A381" s="34"/>
      <x:c r="B381" s="172"/>
      <x:c r="C381" s="34"/>
      <x:c r="D381" s="34"/>
      <x:c r="E381" s="34"/>
      <x:c r="F381" s="34"/>
      <x:c r="G381" s="34"/>
      <x:c r="H381" s="81"/>
      <x:c r="I381" s="34"/>
      <x:c r="J381" s="34"/>
      <x:c r="K381" s="79"/>
      <x:c r="L381" s="34"/>
      <x:c r="M381" s="34"/>
      <x:c r="N381" s="34"/>
      <x:c r="O381" s="34"/>
      <x:c r="P381" s="35"/>
    </x:row>
    <x:row r="382">
      <x:c r="A382" s="34"/>
      <x:c r="B382" s="172"/>
      <x:c r="C382" s="34"/>
      <x:c r="D382" s="34"/>
      <x:c r="E382" s="34"/>
      <x:c r="F382" s="34"/>
      <x:c r="G382" s="34"/>
      <x:c r="H382" s="81"/>
      <x:c r="I382" s="34"/>
      <x:c r="J382" s="34"/>
      <x:c r="K382" s="79"/>
      <x:c r="L382" s="34"/>
      <x:c r="M382" s="34"/>
      <x:c r="N382" s="34"/>
      <x:c r="O382" s="34"/>
      <x:c r="P382" s="35"/>
    </x:row>
    <x:row r="383">
      <x:c r="A383" s="34"/>
      <x:c r="B383" s="172"/>
      <x:c r="C383" s="34"/>
      <x:c r="D383" s="34"/>
      <x:c r="E383" s="34"/>
      <x:c r="F383" s="34"/>
      <x:c r="G383" s="34"/>
      <x:c r="H383" s="81"/>
      <x:c r="I383" s="34"/>
      <x:c r="J383" s="34"/>
      <x:c r="K383" s="79"/>
      <x:c r="L383" s="34"/>
      <x:c r="M383" s="34"/>
      <x:c r="N383" s="34"/>
      <x:c r="O383" s="34"/>
      <x:c r="P383" s="35"/>
    </x:row>
    <x:row r="384">
      <x:c r="A384" s="34"/>
      <x:c r="B384" s="172"/>
      <x:c r="C384" s="34"/>
      <x:c r="D384" s="34"/>
      <x:c r="E384" s="34"/>
      <x:c r="F384" s="34"/>
      <x:c r="G384" s="34"/>
      <x:c r="H384" s="81"/>
      <x:c r="I384" s="34"/>
      <x:c r="J384" s="34"/>
      <x:c r="K384" s="79"/>
      <x:c r="L384" s="34"/>
      <x:c r="M384" s="34"/>
      <x:c r="N384" s="34"/>
      <x:c r="O384" s="34"/>
      <x:c r="P384" s="35"/>
    </x:row>
    <x:row r="385">
      <x:c r="A385" s="34"/>
      <x:c r="B385" s="172"/>
      <x:c r="C385" s="34"/>
      <x:c r="D385" s="34"/>
      <x:c r="E385" s="34"/>
      <x:c r="F385" s="34"/>
      <x:c r="G385" s="34"/>
      <x:c r="H385" s="81"/>
      <x:c r="I385" s="34"/>
      <x:c r="J385" s="34"/>
      <x:c r="K385" s="79"/>
      <x:c r="L385" s="34"/>
      <x:c r="M385" s="34"/>
      <x:c r="N385" s="34"/>
      <x:c r="O385" s="34"/>
      <x:c r="P385" s="35"/>
    </x:row>
    <x:row r="386">
      <x:c r="A386" s="34"/>
      <x:c r="B386" s="172"/>
      <x:c r="C386" s="34"/>
      <x:c r="D386" s="34"/>
      <x:c r="E386" s="34"/>
      <x:c r="F386" s="34"/>
      <x:c r="G386" s="34"/>
      <x:c r="H386" s="81"/>
      <x:c r="I386" s="34"/>
      <x:c r="J386" s="34"/>
      <x:c r="K386" s="79"/>
      <x:c r="L386" s="34"/>
      <x:c r="M386" s="34"/>
      <x:c r="N386" s="34"/>
      <x:c r="O386" s="34"/>
      <x:c r="P386" s="35"/>
    </x:row>
    <x:row r="387">
      <x:c r="A387" s="34"/>
      <x:c r="B387" s="172"/>
      <x:c r="C387" s="34"/>
      <x:c r="D387" s="34"/>
      <x:c r="E387" s="34"/>
      <x:c r="F387" s="34"/>
      <x:c r="G387" s="34"/>
      <x:c r="H387" s="81"/>
      <x:c r="I387" s="34"/>
      <x:c r="J387" s="34"/>
      <x:c r="K387" s="79"/>
      <x:c r="L387" s="34"/>
      <x:c r="M387" s="34"/>
      <x:c r="N387" s="34"/>
      <x:c r="O387" s="34"/>
      <x:c r="P387" s="35"/>
    </x:row>
    <x:row r="388">
      <x:c r="A388" s="34"/>
      <x:c r="B388" s="172"/>
      <x:c r="C388" s="34"/>
      <x:c r="D388" s="34"/>
      <x:c r="E388" s="34"/>
      <x:c r="F388" s="34"/>
      <x:c r="G388" s="34"/>
      <x:c r="H388" s="81"/>
      <x:c r="I388" s="34"/>
      <x:c r="J388" s="34"/>
      <x:c r="K388" s="79"/>
      <x:c r="L388" s="34"/>
      <x:c r="M388" s="34"/>
      <x:c r="N388" s="34"/>
      <x:c r="O388" s="34"/>
      <x:c r="P388" s="35"/>
    </x:row>
    <x:row r="389">
      <x:c r="A389" s="34"/>
      <x:c r="B389" s="172"/>
      <x:c r="C389" s="34"/>
      <x:c r="D389" s="34"/>
      <x:c r="E389" s="34"/>
      <x:c r="F389" s="34"/>
      <x:c r="G389" s="34"/>
      <x:c r="H389" s="81"/>
      <x:c r="I389" s="34"/>
      <x:c r="J389" s="34"/>
      <x:c r="K389" s="79"/>
      <x:c r="L389" s="34"/>
      <x:c r="M389" s="34"/>
      <x:c r="N389" s="34"/>
      <x:c r="O389" s="34"/>
      <x:c r="P389" s="35"/>
    </x:row>
    <x:row r="390">
      <x:c r="A390" s="34"/>
      <x:c r="B390" s="172"/>
      <x:c r="C390" s="34"/>
      <x:c r="D390" s="34"/>
      <x:c r="E390" s="34"/>
      <x:c r="F390" s="34"/>
      <x:c r="G390" s="34"/>
      <x:c r="H390" s="81"/>
      <x:c r="I390" s="34"/>
      <x:c r="J390" s="34"/>
      <x:c r="K390" s="79"/>
      <x:c r="L390" s="34"/>
      <x:c r="M390" s="34"/>
      <x:c r="N390" s="34"/>
      <x:c r="O390" s="34"/>
      <x:c r="P390" s="35"/>
    </x:row>
    <x:row r="391">
      <x:c r="A391" s="34"/>
      <x:c r="B391" s="172"/>
      <x:c r="C391" s="34"/>
      <x:c r="D391" s="34"/>
      <x:c r="E391" s="34"/>
      <x:c r="F391" s="34"/>
      <x:c r="G391" s="34"/>
      <x:c r="H391" s="81"/>
      <x:c r="I391" s="34"/>
      <x:c r="J391" s="34"/>
      <x:c r="K391" s="79"/>
      <x:c r="L391" s="34"/>
      <x:c r="M391" s="34"/>
      <x:c r="N391" s="34"/>
      <x:c r="O391" s="34"/>
      <x:c r="P391" s="35"/>
    </x:row>
    <x:row r="392">
      <x:c r="A392" s="34"/>
      <x:c r="B392" s="172"/>
      <x:c r="C392" s="34"/>
      <x:c r="D392" s="34"/>
      <x:c r="E392" s="34"/>
      <x:c r="F392" s="34"/>
      <x:c r="G392" s="34"/>
      <x:c r="H392" s="81"/>
      <x:c r="I392" s="34"/>
      <x:c r="J392" s="34"/>
      <x:c r="K392" s="79"/>
      <x:c r="L392" s="34"/>
      <x:c r="M392" s="34"/>
      <x:c r="N392" s="34"/>
      <x:c r="O392" s="34"/>
      <x:c r="P392" s="35"/>
    </x:row>
    <x:row r="393">
      <x:c r="A393" s="34"/>
      <x:c r="B393" s="172"/>
      <x:c r="C393" s="34"/>
      <x:c r="D393" s="34"/>
      <x:c r="E393" s="34"/>
      <x:c r="F393" s="34"/>
      <x:c r="G393" s="34"/>
      <x:c r="H393" s="81"/>
      <x:c r="I393" s="34"/>
      <x:c r="J393" s="34"/>
      <x:c r="K393" s="79"/>
      <x:c r="L393" s="34"/>
      <x:c r="M393" s="34"/>
      <x:c r="N393" s="34"/>
      <x:c r="O393" s="34"/>
      <x:c r="P393" s="35"/>
    </x:row>
    <x:row r="394">
      <x:c r="A394" s="34"/>
      <x:c r="B394" s="172"/>
      <x:c r="C394" s="34"/>
      <x:c r="D394" s="34"/>
      <x:c r="E394" s="34"/>
      <x:c r="F394" s="34"/>
      <x:c r="G394" s="34"/>
      <x:c r="H394" s="81"/>
      <x:c r="I394" s="34"/>
      <x:c r="J394" s="34"/>
      <x:c r="K394" s="79"/>
      <x:c r="L394" s="34"/>
      <x:c r="M394" s="34"/>
      <x:c r="N394" s="34"/>
      <x:c r="O394" s="34"/>
      <x:c r="P394" s="35"/>
    </x:row>
    <x:row r="395">
      <x:c r="A395" s="34"/>
      <x:c r="B395" s="172"/>
      <x:c r="C395" s="34"/>
      <x:c r="D395" s="34"/>
      <x:c r="E395" s="34"/>
      <x:c r="F395" s="34"/>
      <x:c r="G395" s="34"/>
      <x:c r="H395" s="81"/>
      <x:c r="I395" s="34"/>
      <x:c r="J395" s="34"/>
      <x:c r="K395" s="79"/>
      <x:c r="L395" s="34"/>
      <x:c r="M395" s="34"/>
      <x:c r="N395" s="34"/>
      <x:c r="O395" s="34"/>
      <x:c r="P395" s="35"/>
    </x:row>
    <x:row r="396">
      <x:c r="A396" s="34"/>
      <x:c r="B396" s="172"/>
      <x:c r="C396" s="34"/>
      <x:c r="D396" s="34"/>
      <x:c r="E396" s="34"/>
      <x:c r="F396" s="34"/>
      <x:c r="G396" s="34"/>
      <x:c r="H396" s="81"/>
      <x:c r="I396" s="34"/>
      <x:c r="J396" s="34"/>
      <x:c r="K396" s="79"/>
      <x:c r="L396" s="34"/>
      <x:c r="M396" s="34"/>
      <x:c r="N396" s="34"/>
      <x:c r="O396" s="34"/>
      <x:c r="P396" s="35"/>
    </x:row>
    <x:row r="397">
      <x:c r="A397" s="34"/>
      <x:c r="B397" s="172"/>
      <x:c r="C397" s="34"/>
      <x:c r="D397" s="34"/>
      <x:c r="E397" s="34"/>
      <x:c r="F397" s="34"/>
      <x:c r="G397" s="34"/>
      <x:c r="H397" s="81"/>
      <x:c r="I397" s="34"/>
      <x:c r="J397" s="34"/>
      <x:c r="K397" s="79"/>
      <x:c r="L397" s="34"/>
      <x:c r="M397" s="34"/>
      <x:c r="N397" s="34"/>
      <x:c r="O397" s="34"/>
      <x:c r="P397" s="35"/>
    </x:row>
    <x:row r="398">
      <x:c r="A398" s="34"/>
      <x:c r="B398" s="172"/>
      <x:c r="C398" s="34"/>
      <x:c r="D398" s="34"/>
      <x:c r="E398" s="34"/>
      <x:c r="F398" s="34"/>
      <x:c r="G398" s="34"/>
      <x:c r="H398" s="81"/>
      <x:c r="I398" s="34"/>
      <x:c r="J398" s="34"/>
      <x:c r="K398" s="79"/>
      <x:c r="L398" s="34"/>
      <x:c r="M398" s="34"/>
      <x:c r="N398" s="34"/>
      <x:c r="O398" s="34"/>
      <x:c r="P398" s="35"/>
    </x:row>
    <x:row r="399">
      <x:c r="A399" s="34"/>
      <x:c r="B399" s="172"/>
      <x:c r="C399" s="34"/>
      <x:c r="D399" s="34"/>
      <x:c r="E399" s="34"/>
      <x:c r="F399" s="34"/>
      <x:c r="G399" s="34"/>
      <x:c r="H399" s="81"/>
      <x:c r="I399" s="34"/>
      <x:c r="J399" s="34"/>
      <x:c r="K399" s="79"/>
      <x:c r="L399" s="34"/>
      <x:c r="M399" s="34"/>
      <x:c r="N399" s="34"/>
      <x:c r="O399" s="34"/>
      <x:c r="P399" s="35"/>
    </x:row>
    <x:row r="400">
      <x:c r="A400" s="34"/>
      <x:c r="B400" s="172"/>
      <x:c r="C400" s="34"/>
      <x:c r="D400" s="34"/>
      <x:c r="E400" s="34"/>
      <x:c r="F400" s="34"/>
      <x:c r="G400" s="34"/>
      <x:c r="H400" s="81"/>
      <x:c r="I400" s="34"/>
      <x:c r="J400" s="34"/>
      <x:c r="K400" s="79"/>
      <x:c r="L400" s="34"/>
      <x:c r="M400" s="34"/>
      <x:c r="N400" s="34"/>
      <x:c r="O400" s="34"/>
      <x:c r="P400" s="35"/>
    </x:row>
    <x:row r="401">
      <x:c r="A401" s="34"/>
      <x:c r="B401" s="172"/>
      <x:c r="C401" s="34"/>
      <x:c r="D401" s="34"/>
      <x:c r="E401" s="34"/>
      <x:c r="F401" s="34"/>
      <x:c r="G401" s="34"/>
      <x:c r="H401" s="81"/>
      <x:c r="I401" s="34"/>
      <x:c r="J401" s="34"/>
      <x:c r="K401" s="79"/>
      <x:c r="L401" s="34"/>
      <x:c r="M401" s="34"/>
      <x:c r="N401" s="34"/>
      <x:c r="O401" s="34"/>
      <x:c r="P401" s="35"/>
    </x:row>
    <x:row r="402">
      <x:c r="A402" s="34"/>
      <x:c r="B402" s="172"/>
      <x:c r="C402" s="34"/>
      <x:c r="D402" s="34"/>
      <x:c r="E402" s="34"/>
      <x:c r="F402" s="34"/>
      <x:c r="G402" s="34"/>
      <x:c r="H402" s="81"/>
      <x:c r="I402" s="34"/>
      <x:c r="J402" s="34"/>
      <x:c r="K402" s="79"/>
      <x:c r="L402" s="34"/>
      <x:c r="M402" s="34"/>
      <x:c r="N402" s="34"/>
      <x:c r="O402" s="34"/>
      <x:c r="P402" s="35"/>
    </x:row>
    <x:row r="403">
      <x:c r="A403" s="34"/>
      <x:c r="B403" s="172"/>
      <x:c r="C403" s="34"/>
      <x:c r="D403" s="34"/>
      <x:c r="E403" s="34"/>
      <x:c r="F403" s="34"/>
      <x:c r="G403" s="34"/>
      <x:c r="H403" s="81"/>
      <x:c r="I403" s="34"/>
      <x:c r="J403" s="34"/>
      <x:c r="K403" s="79"/>
      <x:c r="L403" s="34"/>
      <x:c r="M403" s="34"/>
      <x:c r="N403" s="34"/>
      <x:c r="O403" s="34"/>
      <x:c r="P403" s="35"/>
    </x:row>
    <x:row r="404">
      <x:c r="A404" s="36"/>
      <x:c r="B404" s="173"/>
      <x:c r="C404" s="36"/>
      <x:c r="D404" s="36"/>
      <x:c r="E404" s="36"/>
      <x:c r="F404" s="36"/>
      <x:c r="G404" s="36"/>
      <x:c r="H404" s="85"/>
      <x:c r="I404" s="36"/>
      <x:c r="J404" s="36"/>
      <x:c r="K404" s="83"/>
      <x:c r="L404" s="36"/>
      <x:c r="M404" s="36"/>
      <x:c r="N404" s="36"/>
      <x:c r="O404" s="36"/>
      <x:c r="P404" s="37"/>
    </x:row>
  </x:sheetData>
  <x:mergeCells>
    <x:mergeCell ref="A1:P1"/>
    <x:mergeCell ref="A2:P2"/>
  </x:mergeCells>
  <x:dataValidations count="2">
    <x:dataValidation type="list" sqref="E5:E404">
      <x:formula1>"PET,RACHA,CORRECCION"</x:formula1>
    </x:dataValidation>
    <x:dataValidation type="list" sqref="L5:L404">
      <x:formula1>"PENDIENTE,POSTED,REVERSED,ANULADO"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c350402c374c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2" hidden="0" customWidth="1"/>
    <x:col min="5" max="5" width="24" hidden="0" customWidth="1"/>
    <x:col min="6" max="6" width="22" hidden="0" customWidth="1"/>
    <x:col min="7" max="7" width="28" hidden="0" customWidth="1"/>
    <x:col min="8" max="8" width="28" hidden="0" customWidth="1"/>
    <x:col min="9" max="9" width="42" hidden="0" customWidth="1"/>
    <x:col min="10" max="10" width="16" hidden="0" customWidth="1"/>
    <x:col min="11" max="11" width="20" hidden="0" customWidth="1"/>
    <x:col min="12" max="12" width="20" hidden="0" customWidth="1"/>
    <x:col min="13" max="13" width="24" hidden="0" customWidth="1"/>
    <x:col min="14" max="14" width="40" hidden="0" customWidth="1"/>
  </x:cols>
  <x:sheetData>
    <x:row r="1" ht="30" customHeight="1">
      <x:c r="A1" s="4" t="str">
        <x:v>Correcciones · Bitácora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La corrección nunca debe borrar el historial: registra qué cambió, por qué, quién lo pidió y quién lo aprobó.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28" customHeight="1">
      <x:c r="A4" s="20" t="str">
        <x:v>correction_id</x:v>
      </x:c>
      <x:c r="B4" s="20" t="str">
        <x:v>requested_at</x:v>
      </x:c>
      <x:c r="C4" s="20" t="str">
        <x:v>requested_by</x:v>
      </x:c>
      <x:c r="D4" s="20" t="str">
        <x:v>entity_type</x:v>
      </x:c>
      <x:c r="E4" s="20" t="str">
        <x:v>record_id</x:v>
      </x:c>
      <x:c r="F4" s="20" t="str">
        <x:v>field_name</x:v>
      </x:c>
      <x:c r="G4" s="20" t="str">
        <x:v>original_value</x:v>
      </x:c>
      <x:c r="H4" s="20" t="str">
        <x:v>requested_value</x:v>
      </x:c>
      <x:c r="I4" s="20" t="str">
        <x:v>reason</x:v>
      </x:c>
      <x:c r="J4" s="20" t="str">
        <x:v>status</x:v>
      </x:c>
      <x:c r="K4" s="20" t="str">
        <x:v>approved_by</x:v>
      </x:c>
      <x:c r="L4" s="20" t="str">
        <x:v>approved_at</x:v>
      </x:c>
      <x:c r="M4" s="20" t="str">
        <x:v>applied_record_id</x:v>
      </x:c>
      <x:c r="N4" s="20" t="str">
        <x:v>notes</x:v>
      </x:c>
    </x:row>
    <x:row r="5">
      <x:c r="A5" s="34"/>
      <x:c r="B5" s="172"/>
      <x:c r="C5" s="34"/>
      <x:c r="D5" s="34"/>
      <x:c r="E5" s="34"/>
      <x:c r="F5" s="34"/>
      <x:c r="G5" s="34"/>
      <x:c r="H5" s="34"/>
      <x:c r="I5" s="34"/>
      <x:c r="J5" s="34"/>
      <x:c r="K5" s="34"/>
      <x:c r="L5" s="172"/>
      <x:c r="M5" s="34"/>
      <x:c r="N5" s="35"/>
    </x:row>
    <x:row r="6">
      <x:c r="A6" s="34"/>
      <x:c r="B6" s="172"/>
      <x:c r="C6" s="34"/>
      <x:c r="D6" s="34"/>
      <x:c r="E6" s="34"/>
      <x:c r="F6" s="34"/>
      <x:c r="G6" s="34"/>
      <x:c r="H6" s="34"/>
      <x:c r="I6" s="34"/>
      <x:c r="J6" s="34"/>
      <x:c r="K6" s="34"/>
      <x:c r="L6" s="172"/>
      <x:c r="M6" s="34"/>
      <x:c r="N6" s="35"/>
    </x:row>
    <x:row r="7">
      <x:c r="A7" s="34"/>
      <x:c r="B7" s="172"/>
      <x:c r="C7" s="34"/>
      <x:c r="D7" s="34"/>
      <x:c r="E7" s="34"/>
      <x:c r="F7" s="34"/>
      <x:c r="G7" s="34"/>
      <x:c r="H7" s="34"/>
      <x:c r="I7" s="34"/>
      <x:c r="J7" s="34"/>
      <x:c r="K7" s="34"/>
      <x:c r="L7" s="172"/>
      <x:c r="M7" s="34"/>
      <x:c r="N7" s="35"/>
    </x:row>
    <x:row r="8">
      <x:c r="A8" s="34"/>
      <x:c r="B8" s="172"/>
      <x:c r="C8" s="34"/>
      <x:c r="D8" s="34"/>
      <x:c r="E8" s="34"/>
      <x:c r="F8" s="34"/>
      <x:c r="G8" s="34"/>
      <x:c r="H8" s="34"/>
      <x:c r="I8" s="34"/>
      <x:c r="J8" s="34"/>
      <x:c r="K8" s="34"/>
      <x:c r="L8" s="172"/>
      <x:c r="M8" s="34"/>
      <x:c r="N8" s="35"/>
    </x:row>
    <x:row r="9">
      <x:c r="A9" s="34"/>
      <x:c r="B9" s="172"/>
      <x:c r="C9" s="34"/>
      <x:c r="D9" s="34"/>
      <x:c r="E9" s="34"/>
      <x:c r="F9" s="34"/>
      <x:c r="G9" s="34"/>
      <x:c r="H9" s="34"/>
      <x:c r="I9" s="34"/>
      <x:c r="J9" s="34"/>
      <x:c r="K9" s="34"/>
      <x:c r="L9" s="172"/>
      <x:c r="M9" s="34"/>
      <x:c r="N9" s="35"/>
    </x:row>
    <x:row r="10">
      <x:c r="A10" s="34"/>
      <x:c r="B10" s="172"/>
      <x:c r="C10" s="34"/>
      <x:c r="D10" s="34"/>
      <x:c r="E10" s="34"/>
      <x:c r="F10" s="34"/>
      <x:c r="G10" s="34"/>
      <x:c r="H10" s="34"/>
      <x:c r="I10" s="34"/>
      <x:c r="J10" s="34"/>
      <x:c r="K10" s="34"/>
      <x:c r="L10" s="172"/>
      <x:c r="M10" s="34"/>
      <x:c r="N10" s="35"/>
    </x:row>
    <x:row r="11">
      <x:c r="A11" s="34"/>
      <x:c r="B11" s="172"/>
      <x:c r="C11" s="34"/>
      <x:c r="D11" s="34"/>
      <x:c r="E11" s="34"/>
      <x:c r="F11" s="34"/>
      <x:c r="G11" s="34"/>
      <x:c r="H11" s="34"/>
      <x:c r="I11" s="34"/>
      <x:c r="J11" s="34"/>
      <x:c r="K11" s="34"/>
      <x:c r="L11" s="172"/>
      <x:c r="M11" s="34"/>
      <x:c r="N11" s="35"/>
    </x:row>
    <x:row r="12">
      <x:c r="A12" s="34"/>
      <x:c r="B12" s="172"/>
      <x:c r="C12" s="34"/>
      <x:c r="D12" s="34"/>
      <x:c r="E12" s="34"/>
      <x:c r="F12" s="34"/>
      <x:c r="G12" s="34"/>
      <x:c r="H12" s="34"/>
      <x:c r="I12" s="34"/>
      <x:c r="J12" s="34"/>
      <x:c r="K12" s="34"/>
      <x:c r="L12" s="172"/>
      <x:c r="M12" s="34"/>
      <x:c r="N12" s="35"/>
    </x:row>
    <x:row r="13">
      <x:c r="A13" s="34"/>
      <x:c r="B13" s="172"/>
      <x:c r="C13" s="34"/>
      <x:c r="D13" s="34"/>
      <x:c r="E13" s="34"/>
      <x:c r="F13" s="34"/>
      <x:c r="G13" s="34"/>
      <x:c r="H13" s="34"/>
      <x:c r="I13" s="34"/>
      <x:c r="J13" s="34"/>
      <x:c r="K13" s="34"/>
      <x:c r="L13" s="172"/>
      <x:c r="M13" s="34"/>
      <x:c r="N13" s="35"/>
    </x:row>
    <x:row r="14">
      <x:c r="A14" s="34"/>
      <x:c r="B14" s="172"/>
      <x:c r="C14" s="34"/>
      <x:c r="D14" s="34"/>
      <x:c r="E14" s="34"/>
      <x:c r="F14" s="34"/>
      <x:c r="G14" s="34"/>
      <x:c r="H14" s="34"/>
      <x:c r="I14" s="34"/>
      <x:c r="J14" s="34"/>
      <x:c r="K14" s="34"/>
      <x:c r="L14" s="172"/>
      <x:c r="M14" s="34"/>
      <x:c r="N14" s="35"/>
    </x:row>
    <x:row r="15">
      <x:c r="A15" s="34"/>
      <x:c r="B15" s="172"/>
      <x:c r="C15" s="34"/>
      <x:c r="D15" s="34"/>
      <x:c r="E15" s="34"/>
      <x:c r="F15" s="34"/>
      <x:c r="G15" s="34"/>
      <x:c r="H15" s="34"/>
      <x:c r="I15" s="34"/>
      <x:c r="J15" s="34"/>
      <x:c r="K15" s="34"/>
      <x:c r="L15" s="172"/>
      <x:c r="M15" s="34"/>
      <x:c r="N15" s="35"/>
    </x:row>
    <x:row r="16">
      <x:c r="A16" s="34"/>
      <x:c r="B16" s="172"/>
      <x:c r="C16" s="34"/>
      <x:c r="D16" s="34"/>
      <x:c r="E16" s="34"/>
      <x:c r="F16" s="34"/>
      <x:c r="G16" s="34"/>
      <x:c r="H16" s="34"/>
      <x:c r="I16" s="34"/>
      <x:c r="J16" s="34"/>
      <x:c r="K16" s="34"/>
      <x:c r="L16" s="172"/>
      <x:c r="M16" s="34"/>
      <x:c r="N16" s="35"/>
    </x:row>
    <x:row r="17">
      <x:c r="A17" s="34"/>
      <x:c r="B17" s="172"/>
      <x:c r="C17" s="34"/>
      <x:c r="D17" s="34"/>
      <x:c r="E17" s="34"/>
      <x:c r="F17" s="34"/>
      <x:c r="G17" s="34"/>
      <x:c r="H17" s="34"/>
      <x:c r="I17" s="34"/>
      <x:c r="J17" s="34"/>
      <x:c r="K17" s="34"/>
      <x:c r="L17" s="172"/>
      <x:c r="M17" s="34"/>
      <x:c r="N17" s="35"/>
    </x:row>
    <x:row r="18">
      <x:c r="A18" s="34"/>
      <x:c r="B18" s="172"/>
      <x:c r="C18" s="34"/>
      <x:c r="D18" s="34"/>
      <x:c r="E18" s="34"/>
      <x:c r="F18" s="34"/>
      <x:c r="G18" s="34"/>
      <x:c r="H18" s="34"/>
      <x:c r="I18" s="34"/>
      <x:c r="J18" s="34"/>
      <x:c r="K18" s="34"/>
      <x:c r="L18" s="172"/>
      <x:c r="M18" s="34"/>
      <x:c r="N18" s="35"/>
    </x:row>
    <x:row r="19">
      <x:c r="A19" s="34"/>
      <x:c r="B19" s="172"/>
      <x:c r="C19" s="34"/>
      <x:c r="D19" s="34"/>
      <x:c r="E19" s="34"/>
      <x:c r="F19" s="34"/>
      <x:c r="G19" s="34"/>
      <x:c r="H19" s="34"/>
      <x:c r="I19" s="34"/>
      <x:c r="J19" s="34"/>
      <x:c r="K19" s="34"/>
      <x:c r="L19" s="172"/>
      <x:c r="M19" s="34"/>
      <x:c r="N19" s="35"/>
    </x:row>
    <x:row r="20">
      <x:c r="A20" s="34"/>
      <x:c r="B20" s="172"/>
      <x:c r="C20" s="34"/>
      <x:c r="D20" s="34"/>
      <x:c r="E20" s="34"/>
      <x:c r="F20" s="34"/>
      <x:c r="G20" s="34"/>
      <x:c r="H20" s="34"/>
      <x:c r="I20" s="34"/>
      <x:c r="J20" s="34"/>
      <x:c r="K20" s="34"/>
      <x:c r="L20" s="172"/>
      <x:c r="M20" s="34"/>
      <x:c r="N20" s="35"/>
    </x:row>
    <x:row r="21">
      <x:c r="A21" s="34"/>
      <x:c r="B21" s="172"/>
      <x:c r="C21" s="34"/>
      <x:c r="D21" s="34"/>
      <x:c r="E21" s="34"/>
      <x:c r="F21" s="34"/>
      <x:c r="G21" s="34"/>
      <x:c r="H21" s="34"/>
      <x:c r="I21" s="34"/>
      <x:c r="J21" s="34"/>
      <x:c r="K21" s="34"/>
      <x:c r="L21" s="172"/>
      <x:c r="M21" s="34"/>
      <x:c r="N21" s="35"/>
    </x:row>
    <x:row r="22">
      <x:c r="A22" s="34"/>
      <x:c r="B22" s="172"/>
      <x:c r="C22" s="34"/>
      <x:c r="D22" s="34"/>
      <x:c r="E22" s="34"/>
      <x:c r="F22" s="34"/>
      <x:c r="G22" s="34"/>
      <x:c r="H22" s="34"/>
      <x:c r="I22" s="34"/>
      <x:c r="J22" s="34"/>
      <x:c r="K22" s="34"/>
      <x:c r="L22" s="172"/>
      <x:c r="M22" s="34"/>
      <x:c r="N22" s="35"/>
    </x:row>
    <x:row r="23">
      <x:c r="A23" s="34"/>
      <x:c r="B23" s="172"/>
      <x:c r="C23" s="34"/>
      <x:c r="D23" s="34"/>
      <x:c r="E23" s="34"/>
      <x:c r="F23" s="34"/>
      <x:c r="G23" s="34"/>
      <x:c r="H23" s="34"/>
      <x:c r="I23" s="34"/>
      <x:c r="J23" s="34"/>
      <x:c r="K23" s="34"/>
      <x:c r="L23" s="172"/>
      <x:c r="M23" s="34"/>
      <x:c r="N23" s="35"/>
    </x:row>
    <x:row r="24">
      <x:c r="A24" s="34"/>
      <x:c r="B24" s="172"/>
      <x:c r="C24" s="34"/>
      <x:c r="D24" s="34"/>
      <x:c r="E24" s="34"/>
      <x:c r="F24" s="34"/>
      <x:c r="G24" s="34"/>
      <x:c r="H24" s="34"/>
      <x:c r="I24" s="34"/>
      <x:c r="J24" s="34"/>
      <x:c r="K24" s="34"/>
      <x:c r="L24" s="172"/>
      <x:c r="M24" s="34"/>
      <x:c r="N24" s="35"/>
    </x:row>
    <x:row r="25">
      <x:c r="A25" s="34"/>
      <x:c r="B25" s="172"/>
      <x:c r="C25" s="34"/>
      <x:c r="D25" s="34"/>
      <x:c r="E25" s="34"/>
      <x:c r="F25" s="34"/>
      <x:c r="G25" s="34"/>
      <x:c r="H25" s="34"/>
      <x:c r="I25" s="34"/>
      <x:c r="J25" s="34"/>
      <x:c r="K25" s="34"/>
      <x:c r="L25" s="172"/>
      <x:c r="M25" s="34"/>
      <x:c r="N25" s="35"/>
    </x:row>
    <x:row r="26">
      <x:c r="A26" s="34"/>
      <x:c r="B26" s="172"/>
      <x:c r="C26" s="34"/>
      <x:c r="D26" s="34"/>
      <x:c r="E26" s="34"/>
      <x:c r="F26" s="34"/>
      <x:c r="G26" s="34"/>
      <x:c r="H26" s="34"/>
      <x:c r="I26" s="34"/>
      <x:c r="J26" s="34"/>
      <x:c r="K26" s="34"/>
      <x:c r="L26" s="172"/>
      <x:c r="M26" s="34"/>
      <x:c r="N26" s="35"/>
    </x:row>
    <x:row r="27">
      <x:c r="A27" s="34"/>
      <x:c r="B27" s="172"/>
      <x:c r="C27" s="34"/>
      <x:c r="D27" s="34"/>
      <x:c r="E27" s="34"/>
      <x:c r="F27" s="34"/>
      <x:c r="G27" s="34"/>
      <x:c r="H27" s="34"/>
      <x:c r="I27" s="34"/>
      <x:c r="J27" s="34"/>
      <x:c r="K27" s="34"/>
      <x:c r="L27" s="172"/>
      <x:c r="M27" s="34"/>
      <x:c r="N27" s="35"/>
    </x:row>
    <x:row r="28">
      <x:c r="A28" s="34"/>
      <x:c r="B28" s="172"/>
      <x:c r="C28" s="34"/>
      <x:c r="D28" s="34"/>
      <x:c r="E28" s="34"/>
      <x:c r="F28" s="34"/>
      <x:c r="G28" s="34"/>
      <x:c r="H28" s="34"/>
      <x:c r="I28" s="34"/>
      <x:c r="J28" s="34"/>
      <x:c r="K28" s="34"/>
      <x:c r="L28" s="172"/>
      <x:c r="M28" s="34"/>
      <x:c r="N28" s="35"/>
    </x:row>
    <x:row r="29">
      <x:c r="A29" s="34"/>
      <x:c r="B29" s="172"/>
      <x:c r="C29" s="34"/>
      <x:c r="D29" s="34"/>
      <x:c r="E29" s="34"/>
      <x:c r="F29" s="34"/>
      <x:c r="G29" s="34"/>
      <x:c r="H29" s="34"/>
      <x:c r="I29" s="34"/>
      <x:c r="J29" s="34"/>
      <x:c r="K29" s="34"/>
      <x:c r="L29" s="172"/>
      <x:c r="M29" s="34"/>
      <x:c r="N29" s="35"/>
    </x:row>
    <x:row r="30">
      <x:c r="A30" s="34"/>
      <x:c r="B30" s="172"/>
      <x:c r="C30" s="34"/>
      <x:c r="D30" s="34"/>
      <x:c r="E30" s="34"/>
      <x:c r="F30" s="34"/>
      <x:c r="G30" s="34"/>
      <x:c r="H30" s="34"/>
      <x:c r="I30" s="34"/>
      <x:c r="J30" s="34"/>
      <x:c r="K30" s="34"/>
      <x:c r="L30" s="172"/>
      <x:c r="M30" s="34"/>
      <x:c r="N30" s="35"/>
    </x:row>
    <x:row r="31">
      <x:c r="A31" s="34"/>
      <x:c r="B31" s="172"/>
      <x:c r="C31" s="34"/>
      <x:c r="D31" s="34"/>
      <x:c r="E31" s="34"/>
      <x:c r="F31" s="34"/>
      <x:c r="G31" s="34"/>
      <x:c r="H31" s="34"/>
      <x:c r="I31" s="34"/>
      <x:c r="J31" s="34"/>
      <x:c r="K31" s="34"/>
      <x:c r="L31" s="172"/>
      <x:c r="M31" s="34"/>
      <x:c r="N31" s="35"/>
    </x:row>
    <x:row r="32">
      <x:c r="A32" s="34"/>
      <x:c r="B32" s="172"/>
      <x:c r="C32" s="34"/>
      <x:c r="D32" s="34"/>
      <x:c r="E32" s="34"/>
      <x:c r="F32" s="34"/>
      <x:c r="G32" s="34"/>
      <x:c r="H32" s="34"/>
      <x:c r="I32" s="34"/>
      <x:c r="J32" s="34"/>
      <x:c r="K32" s="34"/>
      <x:c r="L32" s="172"/>
      <x:c r="M32" s="34"/>
      <x:c r="N32" s="35"/>
    </x:row>
    <x:row r="33">
      <x:c r="A33" s="34"/>
      <x:c r="B33" s="172"/>
      <x:c r="C33" s="34"/>
      <x:c r="D33" s="34"/>
      <x:c r="E33" s="34"/>
      <x:c r="F33" s="34"/>
      <x:c r="G33" s="34"/>
      <x:c r="H33" s="34"/>
      <x:c r="I33" s="34"/>
      <x:c r="J33" s="34"/>
      <x:c r="K33" s="34"/>
      <x:c r="L33" s="172"/>
      <x:c r="M33" s="34"/>
      <x:c r="N33" s="35"/>
    </x:row>
    <x:row r="34">
      <x:c r="A34" s="34"/>
      <x:c r="B34" s="172"/>
      <x:c r="C34" s="34"/>
      <x:c r="D34" s="34"/>
      <x:c r="E34" s="34"/>
      <x:c r="F34" s="34"/>
      <x:c r="G34" s="34"/>
      <x:c r="H34" s="34"/>
      <x:c r="I34" s="34"/>
      <x:c r="J34" s="34"/>
      <x:c r="K34" s="34"/>
      <x:c r="L34" s="172"/>
      <x:c r="M34" s="34"/>
      <x:c r="N34" s="35"/>
    </x:row>
    <x:row r="35">
      <x:c r="A35" s="34"/>
      <x:c r="B35" s="172"/>
      <x:c r="C35" s="34"/>
      <x:c r="D35" s="34"/>
      <x:c r="E35" s="34"/>
      <x:c r="F35" s="34"/>
      <x:c r="G35" s="34"/>
      <x:c r="H35" s="34"/>
      <x:c r="I35" s="34"/>
      <x:c r="J35" s="34"/>
      <x:c r="K35" s="34"/>
      <x:c r="L35" s="172"/>
      <x:c r="M35" s="34"/>
      <x:c r="N35" s="35"/>
    </x:row>
    <x:row r="36">
      <x:c r="A36" s="34"/>
      <x:c r="B36" s="172"/>
      <x:c r="C36" s="34"/>
      <x:c r="D36" s="34"/>
      <x:c r="E36" s="34"/>
      <x:c r="F36" s="34"/>
      <x:c r="G36" s="34"/>
      <x:c r="H36" s="34"/>
      <x:c r="I36" s="34"/>
      <x:c r="J36" s="34"/>
      <x:c r="K36" s="34"/>
      <x:c r="L36" s="172"/>
      <x:c r="M36" s="34"/>
      <x:c r="N36" s="35"/>
    </x:row>
    <x:row r="37">
      <x:c r="A37" s="34"/>
      <x:c r="B37" s="172"/>
      <x:c r="C37" s="34"/>
      <x:c r="D37" s="34"/>
      <x:c r="E37" s="34"/>
      <x:c r="F37" s="34"/>
      <x:c r="G37" s="34"/>
      <x:c r="H37" s="34"/>
      <x:c r="I37" s="34"/>
      <x:c r="J37" s="34"/>
      <x:c r="K37" s="34"/>
      <x:c r="L37" s="172"/>
      <x:c r="M37" s="34"/>
      <x:c r="N37" s="35"/>
    </x:row>
    <x:row r="38">
      <x:c r="A38" s="34"/>
      <x:c r="B38" s="172"/>
      <x:c r="C38" s="34"/>
      <x:c r="D38" s="34"/>
      <x:c r="E38" s="34"/>
      <x:c r="F38" s="34"/>
      <x:c r="G38" s="34"/>
      <x:c r="H38" s="34"/>
      <x:c r="I38" s="34"/>
      <x:c r="J38" s="34"/>
      <x:c r="K38" s="34"/>
      <x:c r="L38" s="172"/>
      <x:c r="M38" s="34"/>
      <x:c r="N38" s="35"/>
    </x:row>
    <x:row r="39">
      <x:c r="A39" s="34"/>
      <x:c r="B39" s="172"/>
      <x:c r="C39" s="34"/>
      <x:c r="D39" s="34"/>
      <x:c r="E39" s="34"/>
      <x:c r="F39" s="34"/>
      <x:c r="G39" s="34"/>
      <x:c r="H39" s="34"/>
      <x:c r="I39" s="34"/>
      <x:c r="J39" s="34"/>
      <x:c r="K39" s="34"/>
      <x:c r="L39" s="172"/>
      <x:c r="M39" s="34"/>
      <x:c r="N39" s="35"/>
    </x:row>
    <x:row r="40">
      <x:c r="A40" s="34"/>
      <x:c r="B40" s="172"/>
      <x:c r="C40" s="34"/>
      <x:c r="D40" s="34"/>
      <x:c r="E40" s="34"/>
      <x:c r="F40" s="34"/>
      <x:c r="G40" s="34"/>
      <x:c r="H40" s="34"/>
      <x:c r="I40" s="34"/>
      <x:c r="J40" s="34"/>
      <x:c r="K40" s="34"/>
      <x:c r="L40" s="172"/>
      <x:c r="M40" s="34"/>
      <x:c r="N40" s="35"/>
    </x:row>
    <x:row r="41">
      <x:c r="A41" s="34"/>
      <x:c r="B41" s="172"/>
      <x:c r="C41" s="34"/>
      <x:c r="D41" s="34"/>
      <x:c r="E41" s="34"/>
      <x:c r="F41" s="34"/>
      <x:c r="G41" s="34"/>
      <x:c r="H41" s="34"/>
      <x:c r="I41" s="34"/>
      <x:c r="J41" s="34"/>
      <x:c r="K41" s="34"/>
      <x:c r="L41" s="172"/>
      <x:c r="M41" s="34"/>
      <x:c r="N41" s="35"/>
    </x:row>
    <x:row r="42">
      <x:c r="A42" s="34"/>
      <x:c r="B42" s="172"/>
      <x:c r="C42" s="34"/>
      <x:c r="D42" s="34"/>
      <x:c r="E42" s="34"/>
      <x:c r="F42" s="34"/>
      <x:c r="G42" s="34"/>
      <x:c r="H42" s="34"/>
      <x:c r="I42" s="34"/>
      <x:c r="J42" s="34"/>
      <x:c r="K42" s="34"/>
      <x:c r="L42" s="172"/>
      <x:c r="M42" s="34"/>
      <x:c r="N42" s="35"/>
    </x:row>
    <x:row r="43">
      <x:c r="A43" s="34"/>
      <x:c r="B43" s="172"/>
      <x:c r="C43" s="34"/>
      <x:c r="D43" s="34"/>
      <x:c r="E43" s="34"/>
      <x:c r="F43" s="34"/>
      <x:c r="G43" s="34"/>
      <x:c r="H43" s="34"/>
      <x:c r="I43" s="34"/>
      <x:c r="J43" s="34"/>
      <x:c r="K43" s="34"/>
      <x:c r="L43" s="172"/>
      <x:c r="M43" s="34"/>
      <x:c r="N43" s="35"/>
    </x:row>
    <x:row r="44">
      <x:c r="A44" s="34"/>
      <x:c r="B44" s="172"/>
      <x:c r="C44" s="34"/>
      <x:c r="D44" s="34"/>
      <x:c r="E44" s="34"/>
      <x:c r="F44" s="34"/>
      <x:c r="G44" s="34"/>
      <x:c r="H44" s="34"/>
      <x:c r="I44" s="34"/>
      <x:c r="J44" s="34"/>
      <x:c r="K44" s="34"/>
      <x:c r="L44" s="172"/>
      <x:c r="M44" s="34"/>
      <x:c r="N44" s="35"/>
    </x:row>
    <x:row r="45">
      <x:c r="A45" s="34"/>
      <x:c r="B45" s="172"/>
      <x:c r="C45" s="34"/>
      <x:c r="D45" s="34"/>
      <x:c r="E45" s="34"/>
      <x:c r="F45" s="34"/>
      <x:c r="G45" s="34"/>
      <x:c r="H45" s="34"/>
      <x:c r="I45" s="34"/>
      <x:c r="J45" s="34"/>
      <x:c r="K45" s="34"/>
      <x:c r="L45" s="172"/>
      <x:c r="M45" s="34"/>
      <x:c r="N45" s="35"/>
    </x:row>
    <x:row r="46">
      <x:c r="A46" s="34"/>
      <x:c r="B46" s="172"/>
      <x:c r="C46" s="34"/>
      <x:c r="D46" s="34"/>
      <x:c r="E46" s="34"/>
      <x:c r="F46" s="34"/>
      <x:c r="G46" s="34"/>
      <x:c r="H46" s="34"/>
      <x:c r="I46" s="34"/>
      <x:c r="J46" s="34"/>
      <x:c r="K46" s="34"/>
      <x:c r="L46" s="172"/>
      <x:c r="M46" s="34"/>
      <x:c r="N46" s="35"/>
    </x:row>
    <x:row r="47">
      <x:c r="A47" s="34"/>
      <x:c r="B47" s="172"/>
      <x:c r="C47" s="34"/>
      <x:c r="D47" s="34"/>
      <x:c r="E47" s="34"/>
      <x:c r="F47" s="34"/>
      <x:c r="G47" s="34"/>
      <x:c r="H47" s="34"/>
      <x:c r="I47" s="34"/>
      <x:c r="J47" s="34"/>
      <x:c r="K47" s="34"/>
      <x:c r="L47" s="172"/>
      <x:c r="M47" s="34"/>
      <x:c r="N47" s="35"/>
    </x:row>
    <x:row r="48">
      <x:c r="A48" s="34"/>
      <x:c r="B48" s="172"/>
      <x:c r="C48" s="34"/>
      <x:c r="D48" s="34"/>
      <x:c r="E48" s="34"/>
      <x:c r="F48" s="34"/>
      <x:c r="G48" s="34"/>
      <x:c r="H48" s="34"/>
      <x:c r="I48" s="34"/>
      <x:c r="J48" s="34"/>
      <x:c r="K48" s="34"/>
      <x:c r="L48" s="172"/>
      <x:c r="M48" s="34"/>
      <x:c r="N48" s="35"/>
    </x:row>
    <x:row r="49">
      <x:c r="A49" s="34"/>
      <x:c r="B49" s="172"/>
      <x:c r="C49" s="34"/>
      <x:c r="D49" s="34"/>
      <x:c r="E49" s="34"/>
      <x:c r="F49" s="34"/>
      <x:c r="G49" s="34"/>
      <x:c r="H49" s="34"/>
      <x:c r="I49" s="34"/>
      <x:c r="J49" s="34"/>
      <x:c r="K49" s="34"/>
      <x:c r="L49" s="172"/>
      <x:c r="M49" s="34"/>
      <x:c r="N49" s="35"/>
    </x:row>
    <x:row r="50">
      <x:c r="A50" s="34"/>
      <x:c r="B50" s="172"/>
      <x:c r="C50" s="34"/>
      <x:c r="D50" s="34"/>
      <x:c r="E50" s="34"/>
      <x:c r="F50" s="34"/>
      <x:c r="G50" s="34"/>
      <x:c r="H50" s="34"/>
      <x:c r="I50" s="34"/>
      <x:c r="J50" s="34"/>
      <x:c r="K50" s="34"/>
      <x:c r="L50" s="172"/>
      <x:c r="M50" s="34"/>
      <x:c r="N50" s="35"/>
    </x:row>
    <x:row r="51">
      <x:c r="A51" s="34"/>
      <x:c r="B51" s="172"/>
      <x:c r="C51" s="34"/>
      <x:c r="D51" s="34"/>
      <x:c r="E51" s="34"/>
      <x:c r="F51" s="34"/>
      <x:c r="G51" s="34"/>
      <x:c r="H51" s="34"/>
      <x:c r="I51" s="34"/>
      <x:c r="J51" s="34"/>
      <x:c r="K51" s="34"/>
      <x:c r="L51" s="172"/>
      <x:c r="M51" s="34"/>
      <x:c r="N51" s="35"/>
    </x:row>
    <x:row r="52">
      <x:c r="A52" s="34"/>
      <x:c r="B52" s="172"/>
      <x:c r="C52" s="34"/>
      <x:c r="D52" s="34"/>
      <x:c r="E52" s="34"/>
      <x:c r="F52" s="34"/>
      <x:c r="G52" s="34"/>
      <x:c r="H52" s="34"/>
      <x:c r="I52" s="34"/>
      <x:c r="J52" s="34"/>
      <x:c r="K52" s="34"/>
      <x:c r="L52" s="172"/>
      <x:c r="M52" s="34"/>
      <x:c r="N52" s="35"/>
    </x:row>
    <x:row r="53">
      <x:c r="A53" s="34"/>
      <x:c r="B53" s="172"/>
      <x:c r="C53" s="34"/>
      <x:c r="D53" s="34"/>
      <x:c r="E53" s="34"/>
      <x:c r="F53" s="34"/>
      <x:c r="G53" s="34"/>
      <x:c r="H53" s="34"/>
      <x:c r="I53" s="34"/>
      <x:c r="J53" s="34"/>
      <x:c r="K53" s="34"/>
      <x:c r="L53" s="172"/>
      <x:c r="M53" s="34"/>
      <x:c r="N53" s="35"/>
    </x:row>
    <x:row r="54">
      <x:c r="A54" s="34"/>
      <x:c r="B54" s="172"/>
      <x:c r="C54" s="34"/>
      <x:c r="D54" s="34"/>
      <x:c r="E54" s="34"/>
      <x:c r="F54" s="34"/>
      <x:c r="G54" s="34"/>
      <x:c r="H54" s="34"/>
      <x:c r="I54" s="34"/>
      <x:c r="J54" s="34"/>
      <x:c r="K54" s="34"/>
      <x:c r="L54" s="172"/>
      <x:c r="M54" s="34"/>
      <x:c r="N54" s="35"/>
    </x:row>
    <x:row r="55">
      <x:c r="A55" s="34"/>
      <x:c r="B55" s="172"/>
      <x:c r="C55" s="34"/>
      <x:c r="D55" s="34"/>
      <x:c r="E55" s="34"/>
      <x:c r="F55" s="34"/>
      <x:c r="G55" s="34"/>
      <x:c r="H55" s="34"/>
      <x:c r="I55" s="34"/>
      <x:c r="J55" s="34"/>
      <x:c r="K55" s="34"/>
      <x:c r="L55" s="172"/>
      <x:c r="M55" s="34"/>
      <x:c r="N55" s="35"/>
    </x:row>
    <x:row r="56">
      <x:c r="A56" s="34"/>
      <x:c r="B56" s="172"/>
      <x:c r="C56" s="34"/>
      <x:c r="D56" s="34"/>
      <x:c r="E56" s="34"/>
      <x:c r="F56" s="34"/>
      <x:c r="G56" s="34"/>
      <x:c r="H56" s="34"/>
      <x:c r="I56" s="34"/>
      <x:c r="J56" s="34"/>
      <x:c r="K56" s="34"/>
      <x:c r="L56" s="172"/>
      <x:c r="M56" s="34"/>
      <x:c r="N56" s="35"/>
    </x:row>
    <x:row r="57">
      <x:c r="A57" s="34"/>
      <x:c r="B57" s="172"/>
      <x:c r="C57" s="34"/>
      <x:c r="D57" s="34"/>
      <x:c r="E57" s="34"/>
      <x:c r="F57" s="34"/>
      <x:c r="G57" s="34"/>
      <x:c r="H57" s="34"/>
      <x:c r="I57" s="34"/>
      <x:c r="J57" s="34"/>
      <x:c r="K57" s="34"/>
      <x:c r="L57" s="172"/>
      <x:c r="M57" s="34"/>
      <x:c r="N57" s="35"/>
    </x:row>
    <x:row r="58">
      <x:c r="A58" s="34"/>
      <x:c r="B58" s="172"/>
      <x:c r="C58" s="34"/>
      <x:c r="D58" s="34"/>
      <x:c r="E58" s="34"/>
      <x:c r="F58" s="34"/>
      <x:c r="G58" s="34"/>
      <x:c r="H58" s="34"/>
      <x:c r="I58" s="34"/>
      <x:c r="J58" s="34"/>
      <x:c r="K58" s="34"/>
      <x:c r="L58" s="172"/>
      <x:c r="M58" s="34"/>
      <x:c r="N58" s="35"/>
    </x:row>
    <x:row r="59">
      <x:c r="A59" s="34"/>
      <x:c r="B59" s="172"/>
      <x:c r="C59" s="34"/>
      <x:c r="D59" s="34"/>
      <x:c r="E59" s="34"/>
      <x:c r="F59" s="34"/>
      <x:c r="G59" s="34"/>
      <x:c r="H59" s="34"/>
      <x:c r="I59" s="34"/>
      <x:c r="J59" s="34"/>
      <x:c r="K59" s="34"/>
      <x:c r="L59" s="172"/>
      <x:c r="M59" s="34"/>
      <x:c r="N59" s="35"/>
    </x:row>
    <x:row r="60">
      <x:c r="A60" s="34"/>
      <x:c r="B60" s="172"/>
      <x:c r="C60" s="34"/>
      <x:c r="D60" s="34"/>
      <x:c r="E60" s="34"/>
      <x:c r="F60" s="34"/>
      <x:c r="G60" s="34"/>
      <x:c r="H60" s="34"/>
      <x:c r="I60" s="34"/>
      <x:c r="J60" s="34"/>
      <x:c r="K60" s="34"/>
      <x:c r="L60" s="172"/>
      <x:c r="M60" s="34"/>
      <x:c r="N60" s="35"/>
    </x:row>
    <x:row r="61">
      <x:c r="A61" s="34"/>
      <x:c r="B61" s="172"/>
      <x:c r="C61" s="34"/>
      <x:c r="D61" s="34"/>
      <x:c r="E61" s="34"/>
      <x:c r="F61" s="34"/>
      <x:c r="G61" s="34"/>
      <x:c r="H61" s="34"/>
      <x:c r="I61" s="34"/>
      <x:c r="J61" s="34"/>
      <x:c r="K61" s="34"/>
      <x:c r="L61" s="172"/>
      <x:c r="M61" s="34"/>
      <x:c r="N61" s="35"/>
    </x:row>
    <x:row r="62">
      <x:c r="A62" s="34"/>
      <x:c r="B62" s="172"/>
      <x:c r="C62" s="34"/>
      <x:c r="D62" s="34"/>
      <x:c r="E62" s="34"/>
      <x:c r="F62" s="34"/>
      <x:c r="G62" s="34"/>
      <x:c r="H62" s="34"/>
      <x:c r="I62" s="34"/>
      <x:c r="J62" s="34"/>
      <x:c r="K62" s="34"/>
      <x:c r="L62" s="172"/>
      <x:c r="M62" s="34"/>
      <x:c r="N62" s="35"/>
    </x:row>
    <x:row r="63">
      <x:c r="A63" s="34"/>
      <x:c r="B63" s="172"/>
      <x:c r="C63" s="34"/>
      <x:c r="D63" s="34"/>
      <x:c r="E63" s="34"/>
      <x:c r="F63" s="34"/>
      <x:c r="G63" s="34"/>
      <x:c r="H63" s="34"/>
      <x:c r="I63" s="34"/>
      <x:c r="J63" s="34"/>
      <x:c r="K63" s="34"/>
      <x:c r="L63" s="172"/>
      <x:c r="M63" s="34"/>
      <x:c r="N63" s="35"/>
    </x:row>
    <x:row r="64">
      <x:c r="A64" s="34"/>
      <x:c r="B64" s="172"/>
      <x:c r="C64" s="34"/>
      <x:c r="D64" s="34"/>
      <x:c r="E64" s="34"/>
      <x:c r="F64" s="34"/>
      <x:c r="G64" s="34"/>
      <x:c r="H64" s="34"/>
      <x:c r="I64" s="34"/>
      <x:c r="J64" s="34"/>
      <x:c r="K64" s="34"/>
      <x:c r="L64" s="172"/>
      <x:c r="M64" s="34"/>
      <x:c r="N64" s="35"/>
    </x:row>
    <x:row r="65">
      <x:c r="A65" s="34"/>
      <x:c r="B65" s="172"/>
      <x:c r="C65" s="34"/>
      <x:c r="D65" s="34"/>
      <x:c r="E65" s="34"/>
      <x:c r="F65" s="34"/>
      <x:c r="G65" s="34"/>
      <x:c r="H65" s="34"/>
      <x:c r="I65" s="34"/>
      <x:c r="J65" s="34"/>
      <x:c r="K65" s="34"/>
      <x:c r="L65" s="172"/>
      <x:c r="M65" s="34"/>
      <x:c r="N65" s="35"/>
    </x:row>
    <x:row r="66">
      <x:c r="A66" s="34"/>
      <x:c r="B66" s="172"/>
      <x:c r="C66" s="34"/>
      <x:c r="D66" s="34"/>
      <x:c r="E66" s="34"/>
      <x:c r="F66" s="34"/>
      <x:c r="G66" s="34"/>
      <x:c r="H66" s="34"/>
      <x:c r="I66" s="34"/>
      <x:c r="J66" s="34"/>
      <x:c r="K66" s="34"/>
      <x:c r="L66" s="172"/>
      <x:c r="M66" s="34"/>
      <x:c r="N66" s="35"/>
    </x:row>
    <x:row r="67">
      <x:c r="A67" s="34"/>
      <x:c r="B67" s="172"/>
      <x:c r="C67" s="34"/>
      <x:c r="D67" s="34"/>
      <x:c r="E67" s="34"/>
      <x:c r="F67" s="34"/>
      <x:c r="G67" s="34"/>
      <x:c r="H67" s="34"/>
      <x:c r="I67" s="34"/>
      <x:c r="J67" s="34"/>
      <x:c r="K67" s="34"/>
      <x:c r="L67" s="172"/>
      <x:c r="M67" s="34"/>
      <x:c r="N67" s="35"/>
    </x:row>
    <x:row r="68">
      <x:c r="A68" s="34"/>
      <x:c r="B68" s="172"/>
      <x:c r="C68" s="34"/>
      <x:c r="D68" s="34"/>
      <x:c r="E68" s="34"/>
      <x:c r="F68" s="34"/>
      <x:c r="G68" s="34"/>
      <x:c r="H68" s="34"/>
      <x:c r="I68" s="34"/>
      <x:c r="J68" s="34"/>
      <x:c r="K68" s="34"/>
      <x:c r="L68" s="172"/>
      <x:c r="M68" s="34"/>
      <x:c r="N68" s="35"/>
    </x:row>
    <x:row r="69">
      <x:c r="A69" s="34"/>
      <x:c r="B69" s="172"/>
      <x:c r="C69" s="34"/>
      <x:c r="D69" s="34"/>
      <x:c r="E69" s="34"/>
      <x:c r="F69" s="34"/>
      <x:c r="G69" s="34"/>
      <x:c r="H69" s="34"/>
      <x:c r="I69" s="34"/>
      <x:c r="J69" s="34"/>
      <x:c r="K69" s="34"/>
      <x:c r="L69" s="172"/>
      <x:c r="M69" s="34"/>
      <x:c r="N69" s="35"/>
    </x:row>
    <x:row r="70">
      <x:c r="A70" s="34"/>
      <x:c r="B70" s="172"/>
      <x:c r="C70" s="34"/>
      <x:c r="D70" s="34"/>
      <x:c r="E70" s="34"/>
      <x:c r="F70" s="34"/>
      <x:c r="G70" s="34"/>
      <x:c r="H70" s="34"/>
      <x:c r="I70" s="34"/>
      <x:c r="J70" s="34"/>
      <x:c r="K70" s="34"/>
      <x:c r="L70" s="172"/>
      <x:c r="M70" s="34"/>
      <x:c r="N70" s="35"/>
    </x:row>
    <x:row r="71">
      <x:c r="A71" s="34"/>
      <x:c r="B71" s="172"/>
      <x:c r="C71" s="34"/>
      <x:c r="D71" s="34"/>
      <x:c r="E71" s="34"/>
      <x:c r="F71" s="34"/>
      <x:c r="G71" s="34"/>
      <x:c r="H71" s="34"/>
      <x:c r="I71" s="34"/>
      <x:c r="J71" s="34"/>
      <x:c r="K71" s="34"/>
      <x:c r="L71" s="172"/>
      <x:c r="M71" s="34"/>
      <x:c r="N71" s="35"/>
    </x:row>
    <x:row r="72">
      <x:c r="A72" s="34"/>
      <x:c r="B72" s="172"/>
      <x:c r="C72" s="34"/>
      <x:c r="D72" s="34"/>
      <x:c r="E72" s="34"/>
      <x:c r="F72" s="34"/>
      <x:c r="G72" s="34"/>
      <x:c r="H72" s="34"/>
      <x:c r="I72" s="34"/>
      <x:c r="J72" s="34"/>
      <x:c r="K72" s="34"/>
      <x:c r="L72" s="172"/>
      <x:c r="M72" s="34"/>
      <x:c r="N72" s="35"/>
    </x:row>
    <x:row r="73">
      <x:c r="A73" s="34"/>
      <x:c r="B73" s="172"/>
      <x:c r="C73" s="34"/>
      <x:c r="D73" s="34"/>
      <x:c r="E73" s="34"/>
      <x:c r="F73" s="34"/>
      <x:c r="G73" s="34"/>
      <x:c r="H73" s="34"/>
      <x:c r="I73" s="34"/>
      <x:c r="J73" s="34"/>
      <x:c r="K73" s="34"/>
      <x:c r="L73" s="172"/>
      <x:c r="M73" s="34"/>
      <x:c r="N73" s="35"/>
    </x:row>
    <x:row r="74">
      <x:c r="A74" s="34"/>
      <x:c r="B74" s="172"/>
      <x:c r="C74" s="34"/>
      <x:c r="D74" s="34"/>
      <x:c r="E74" s="34"/>
      <x:c r="F74" s="34"/>
      <x:c r="G74" s="34"/>
      <x:c r="H74" s="34"/>
      <x:c r="I74" s="34"/>
      <x:c r="J74" s="34"/>
      <x:c r="K74" s="34"/>
      <x:c r="L74" s="172"/>
      <x:c r="M74" s="34"/>
      <x:c r="N74" s="35"/>
    </x:row>
    <x:row r="75">
      <x:c r="A75" s="34"/>
      <x:c r="B75" s="172"/>
      <x:c r="C75" s="34"/>
      <x:c r="D75" s="34"/>
      <x:c r="E75" s="34"/>
      <x:c r="F75" s="34"/>
      <x:c r="G75" s="34"/>
      <x:c r="H75" s="34"/>
      <x:c r="I75" s="34"/>
      <x:c r="J75" s="34"/>
      <x:c r="K75" s="34"/>
      <x:c r="L75" s="172"/>
      <x:c r="M75" s="34"/>
      <x:c r="N75" s="35"/>
    </x:row>
    <x:row r="76">
      <x:c r="A76" s="34"/>
      <x:c r="B76" s="172"/>
      <x:c r="C76" s="34"/>
      <x:c r="D76" s="34"/>
      <x:c r="E76" s="34"/>
      <x:c r="F76" s="34"/>
      <x:c r="G76" s="34"/>
      <x:c r="H76" s="34"/>
      <x:c r="I76" s="34"/>
      <x:c r="J76" s="34"/>
      <x:c r="K76" s="34"/>
      <x:c r="L76" s="172"/>
      <x:c r="M76" s="34"/>
      <x:c r="N76" s="35"/>
    </x:row>
    <x:row r="77">
      <x:c r="A77" s="34"/>
      <x:c r="B77" s="172"/>
      <x:c r="C77" s="34"/>
      <x:c r="D77" s="34"/>
      <x:c r="E77" s="34"/>
      <x:c r="F77" s="34"/>
      <x:c r="G77" s="34"/>
      <x:c r="H77" s="34"/>
      <x:c r="I77" s="34"/>
      <x:c r="J77" s="34"/>
      <x:c r="K77" s="34"/>
      <x:c r="L77" s="172"/>
      <x:c r="M77" s="34"/>
      <x:c r="N77" s="35"/>
    </x:row>
    <x:row r="78">
      <x:c r="A78" s="34"/>
      <x:c r="B78" s="172"/>
      <x:c r="C78" s="34"/>
      <x:c r="D78" s="34"/>
      <x:c r="E78" s="34"/>
      <x:c r="F78" s="34"/>
      <x:c r="G78" s="34"/>
      <x:c r="H78" s="34"/>
      <x:c r="I78" s="34"/>
      <x:c r="J78" s="34"/>
      <x:c r="K78" s="34"/>
      <x:c r="L78" s="172"/>
      <x:c r="M78" s="34"/>
      <x:c r="N78" s="35"/>
    </x:row>
    <x:row r="79">
      <x:c r="A79" s="34"/>
      <x:c r="B79" s="172"/>
      <x:c r="C79" s="34"/>
      <x:c r="D79" s="34"/>
      <x:c r="E79" s="34"/>
      <x:c r="F79" s="34"/>
      <x:c r="G79" s="34"/>
      <x:c r="H79" s="34"/>
      <x:c r="I79" s="34"/>
      <x:c r="J79" s="34"/>
      <x:c r="K79" s="34"/>
      <x:c r="L79" s="172"/>
      <x:c r="M79" s="34"/>
      <x:c r="N79" s="35"/>
    </x:row>
    <x:row r="80">
      <x:c r="A80" s="34"/>
      <x:c r="B80" s="172"/>
      <x:c r="C80" s="34"/>
      <x:c r="D80" s="34"/>
      <x:c r="E80" s="34"/>
      <x:c r="F80" s="34"/>
      <x:c r="G80" s="34"/>
      <x:c r="H80" s="34"/>
      <x:c r="I80" s="34"/>
      <x:c r="J80" s="34"/>
      <x:c r="K80" s="34"/>
      <x:c r="L80" s="172"/>
      <x:c r="M80" s="34"/>
      <x:c r="N80" s="35"/>
    </x:row>
    <x:row r="81">
      <x:c r="A81" s="34"/>
      <x:c r="B81" s="172"/>
      <x:c r="C81" s="34"/>
      <x:c r="D81" s="34"/>
      <x:c r="E81" s="34"/>
      <x:c r="F81" s="34"/>
      <x:c r="G81" s="34"/>
      <x:c r="H81" s="34"/>
      <x:c r="I81" s="34"/>
      <x:c r="J81" s="34"/>
      <x:c r="K81" s="34"/>
      <x:c r="L81" s="172"/>
      <x:c r="M81" s="34"/>
      <x:c r="N81" s="35"/>
    </x:row>
    <x:row r="82">
      <x:c r="A82" s="34"/>
      <x:c r="B82" s="172"/>
      <x:c r="C82" s="34"/>
      <x:c r="D82" s="34"/>
      <x:c r="E82" s="34"/>
      <x:c r="F82" s="34"/>
      <x:c r="G82" s="34"/>
      <x:c r="H82" s="34"/>
      <x:c r="I82" s="34"/>
      <x:c r="J82" s="34"/>
      <x:c r="K82" s="34"/>
      <x:c r="L82" s="172"/>
      <x:c r="M82" s="34"/>
      <x:c r="N82" s="35"/>
    </x:row>
    <x:row r="83">
      <x:c r="A83" s="34"/>
      <x:c r="B83" s="172"/>
      <x:c r="C83" s="34"/>
      <x:c r="D83" s="34"/>
      <x:c r="E83" s="34"/>
      <x:c r="F83" s="34"/>
      <x:c r="G83" s="34"/>
      <x:c r="H83" s="34"/>
      <x:c r="I83" s="34"/>
      <x:c r="J83" s="34"/>
      <x:c r="K83" s="34"/>
      <x:c r="L83" s="172"/>
      <x:c r="M83" s="34"/>
      <x:c r="N83" s="35"/>
    </x:row>
    <x:row r="84">
      <x:c r="A84" s="34"/>
      <x:c r="B84" s="172"/>
      <x:c r="C84" s="34"/>
      <x:c r="D84" s="34"/>
      <x:c r="E84" s="34"/>
      <x:c r="F84" s="34"/>
      <x:c r="G84" s="34"/>
      <x:c r="H84" s="34"/>
      <x:c r="I84" s="34"/>
      <x:c r="J84" s="34"/>
      <x:c r="K84" s="34"/>
      <x:c r="L84" s="172"/>
      <x:c r="M84" s="34"/>
      <x:c r="N84" s="35"/>
    </x:row>
    <x:row r="85">
      <x:c r="A85" s="34"/>
      <x:c r="B85" s="172"/>
      <x:c r="C85" s="34"/>
      <x:c r="D85" s="34"/>
      <x:c r="E85" s="34"/>
      <x:c r="F85" s="34"/>
      <x:c r="G85" s="34"/>
      <x:c r="H85" s="34"/>
      <x:c r="I85" s="34"/>
      <x:c r="J85" s="34"/>
      <x:c r="K85" s="34"/>
      <x:c r="L85" s="172"/>
      <x:c r="M85" s="34"/>
      <x:c r="N85" s="35"/>
    </x:row>
    <x:row r="86">
      <x:c r="A86" s="34"/>
      <x:c r="B86" s="172"/>
      <x:c r="C86" s="34"/>
      <x:c r="D86" s="34"/>
      <x:c r="E86" s="34"/>
      <x:c r="F86" s="34"/>
      <x:c r="G86" s="34"/>
      <x:c r="H86" s="34"/>
      <x:c r="I86" s="34"/>
      <x:c r="J86" s="34"/>
      <x:c r="K86" s="34"/>
      <x:c r="L86" s="172"/>
      <x:c r="M86" s="34"/>
      <x:c r="N86" s="35"/>
    </x:row>
    <x:row r="87">
      <x:c r="A87" s="34"/>
      <x:c r="B87" s="172"/>
      <x:c r="C87" s="34"/>
      <x:c r="D87" s="34"/>
      <x:c r="E87" s="34"/>
      <x:c r="F87" s="34"/>
      <x:c r="G87" s="34"/>
      <x:c r="H87" s="34"/>
      <x:c r="I87" s="34"/>
      <x:c r="J87" s="34"/>
      <x:c r="K87" s="34"/>
      <x:c r="L87" s="172"/>
      <x:c r="M87" s="34"/>
      <x:c r="N87" s="35"/>
    </x:row>
    <x:row r="88">
      <x:c r="A88" s="34"/>
      <x:c r="B88" s="172"/>
      <x:c r="C88" s="34"/>
      <x:c r="D88" s="34"/>
      <x:c r="E88" s="34"/>
      <x:c r="F88" s="34"/>
      <x:c r="G88" s="34"/>
      <x:c r="H88" s="34"/>
      <x:c r="I88" s="34"/>
      <x:c r="J88" s="34"/>
      <x:c r="K88" s="34"/>
      <x:c r="L88" s="172"/>
      <x:c r="M88" s="34"/>
      <x:c r="N88" s="35"/>
    </x:row>
    <x:row r="89">
      <x:c r="A89" s="34"/>
      <x:c r="B89" s="172"/>
      <x:c r="C89" s="34"/>
      <x:c r="D89" s="34"/>
      <x:c r="E89" s="34"/>
      <x:c r="F89" s="34"/>
      <x:c r="G89" s="34"/>
      <x:c r="H89" s="34"/>
      <x:c r="I89" s="34"/>
      <x:c r="J89" s="34"/>
      <x:c r="K89" s="34"/>
      <x:c r="L89" s="172"/>
      <x:c r="M89" s="34"/>
      <x:c r="N89" s="35"/>
    </x:row>
    <x:row r="90">
      <x:c r="A90" s="34"/>
      <x:c r="B90" s="172"/>
      <x:c r="C90" s="34"/>
      <x:c r="D90" s="34"/>
      <x:c r="E90" s="34"/>
      <x:c r="F90" s="34"/>
      <x:c r="G90" s="34"/>
      <x:c r="H90" s="34"/>
      <x:c r="I90" s="34"/>
      <x:c r="J90" s="34"/>
      <x:c r="K90" s="34"/>
      <x:c r="L90" s="172"/>
      <x:c r="M90" s="34"/>
      <x:c r="N90" s="35"/>
    </x:row>
    <x:row r="91">
      <x:c r="A91" s="34"/>
      <x:c r="B91" s="172"/>
      <x:c r="C91" s="34"/>
      <x:c r="D91" s="34"/>
      <x:c r="E91" s="34"/>
      <x:c r="F91" s="34"/>
      <x:c r="G91" s="34"/>
      <x:c r="H91" s="34"/>
      <x:c r="I91" s="34"/>
      <x:c r="J91" s="34"/>
      <x:c r="K91" s="34"/>
      <x:c r="L91" s="172"/>
      <x:c r="M91" s="34"/>
      <x:c r="N91" s="35"/>
    </x:row>
    <x:row r="92">
      <x:c r="A92" s="34"/>
      <x:c r="B92" s="172"/>
      <x:c r="C92" s="34"/>
      <x:c r="D92" s="34"/>
      <x:c r="E92" s="34"/>
      <x:c r="F92" s="34"/>
      <x:c r="G92" s="34"/>
      <x:c r="H92" s="34"/>
      <x:c r="I92" s="34"/>
      <x:c r="J92" s="34"/>
      <x:c r="K92" s="34"/>
      <x:c r="L92" s="172"/>
      <x:c r="M92" s="34"/>
      <x:c r="N92" s="35"/>
    </x:row>
    <x:row r="93">
      <x:c r="A93" s="34"/>
      <x:c r="B93" s="172"/>
      <x:c r="C93" s="34"/>
      <x:c r="D93" s="34"/>
      <x:c r="E93" s="34"/>
      <x:c r="F93" s="34"/>
      <x:c r="G93" s="34"/>
      <x:c r="H93" s="34"/>
      <x:c r="I93" s="34"/>
      <x:c r="J93" s="34"/>
      <x:c r="K93" s="34"/>
      <x:c r="L93" s="172"/>
      <x:c r="M93" s="34"/>
      <x:c r="N93" s="35"/>
    </x:row>
    <x:row r="94">
      <x:c r="A94" s="34"/>
      <x:c r="B94" s="172"/>
      <x:c r="C94" s="34"/>
      <x:c r="D94" s="34"/>
      <x:c r="E94" s="34"/>
      <x:c r="F94" s="34"/>
      <x:c r="G94" s="34"/>
      <x:c r="H94" s="34"/>
      <x:c r="I94" s="34"/>
      <x:c r="J94" s="34"/>
      <x:c r="K94" s="34"/>
      <x:c r="L94" s="172"/>
      <x:c r="M94" s="34"/>
      <x:c r="N94" s="35"/>
    </x:row>
    <x:row r="95">
      <x:c r="A95" s="34"/>
      <x:c r="B95" s="172"/>
      <x:c r="C95" s="34"/>
      <x:c r="D95" s="34"/>
      <x:c r="E95" s="34"/>
      <x:c r="F95" s="34"/>
      <x:c r="G95" s="34"/>
      <x:c r="H95" s="34"/>
      <x:c r="I95" s="34"/>
      <x:c r="J95" s="34"/>
      <x:c r="K95" s="34"/>
      <x:c r="L95" s="172"/>
      <x:c r="M95" s="34"/>
      <x:c r="N95" s="35"/>
    </x:row>
    <x:row r="96">
      <x:c r="A96" s="34"/>
      <x:c r="B96" s="172"/>
      <x:c r="C96" s="34"/>
      <x:c r="D96" s="34"/>
      <x:c r="E96" s="34"/>
      <x:c r="F96" s="34"/>
      <x:c r="G96" s="34"/>
      <x:c r="H96" s="34"/>
      <x:c r="I96" s="34"/>
      <x:c r="J96" s="34"/>
      <x:c r="K96" s="34"/>
      <x:c r="L96" s="172"/>
      <x:c r="M96" s="34"/>
      <x:c r="N96" s="35"/>
    </x:row>
    <x:row r="97">
      <x:c r="A97" s="34"/>
      <x:c r="B97" s="172"/>
      <x:c r="C97" s="34"/>
      <x:c r="D97" s="34"/>
      <x:c r="E97" s="34"/>
      <x:c r="F97" s="34"/>
      <x:c r="G97" s="34"/>
      <x:c r="H97" s="34"/>
      <x:c r="I97" s="34"/>
      <x:c r="J97" s="34"/>
      <x:c r="K97" s="34"/>
      <x:c r="L97" s="172"/>
      <x:c r="M97" s="34"/>
      <x:c r="N97" s="35"/>
    </x:row>
    <x:row r="98">
      <x:c r="A98" s="34"/>
      <x:c r="B98" s="172"/>
      <x:c r="C98" s="34"/>
      <x:c r="D98" s="34"/>
      <x:c r="E98" s="34"/>
      <x:c r="F98" s="34"/>
      <x:c r="G98" s="34"/>
      <x:c r="H98" s="34"/>
      <x:c r="I98" s="34"/>
      <x:c r="J98" s="34"/>
      <x:c r="K98" s="34"/>
      <x:c r="L98" s="172"/>
      <x:c r="M98" s="34"/>
      <x:c r="N98" s="35"/>
    </x:row>
    <x:row r="99">
      <x:c r="A99" s="34"/>
      <x:c r="B99" s="172"/>
      <x:c r="C99" s="34"/>
      <x:c r="D99" s="34"/>
      <x:c r="E99" s="34"/>
      <x:c r="F99" s="34"/>
      <x:c r="G99" s="34"/>
      <x:c r="H99" s="34"/>
      <x:c r="I99" s="34"/>
      <x:c r="J99" s="34"/>
      <x:c r="K99" s="34"/>
      <x:c r="L99" s="172"/>
      <x:c r="M99" s="34"/>
      <x:c r="N99" s="35"/>
    </x:row>
    <x:row r="100">
      <x:c r="A100" s="34"/>
      <x:c r="B100" s="172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172"/>
      <x:c r="M100" s="34"/>
      <x:c r="N100" s="35"/>
    </x:row>
    <x:row r="101">
      <x:c r="A101" s="34"/>
      <x:c r="B101" s="172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172"/>
      <x:c r="M101" s="34"/>
      <x:c r="N101" s="35"/>
    </x:row>
    <x:row r="102">
      <x:c r="A102" s="34"/>
      <x:c r="B102" s="172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172"/>
      <x:c r="M102" s="34"/>
      <x:c r="N102" s="35"/>
    </x:row>
    <x:row r="103">
      <x:c r="A103" s="34"/>
      <x:c r="B103" s="172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172"/>
      <x:c r="M103" s="34"/>
      <x:c r="N103" s="35"/>
    </x:row>
    <x:row r="104">
      <x:c r="A104" s="34"/>
      <x:c r="B104" s="172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172"/>
      <x:c r="M104" s="34"/>
      <x:c r="N104" s="35"/>
    </x:row>
    <x:row r="105">
      <x:c r="A105" s="34"/>
      <x:c r="B105" s="172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172"/>
      <x:c r="M105" s="34"/>
      <x:c r="N105" s="35"/>
    </x:row>
    <x:row r="106">
      <x:c r="A106" s="34"/>
      <x:c r="B106" s="172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172"/>
      <x:c r="M106" s="34"/>
      <x:c r="N106" s="35"/>
    </x:row>
    <x:row r="107">
      <x:c r="A107" s="34"/>
      <x:c r="B107" s="172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172"/>
      <x:c r="M107" s="34"/>
      <x:c r="N107" s="35"/>
    </x:row>
    <x:row r="108">
      <x:c r="A108" s="34"/>
      <x:c r="B108" s="172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172"/>
      <x:c r="M108" s="34"/>
      <x:c r="N108" s="35"/>
    </x:row>
    <x:row r="109">
      <x:c r="A109" s="34"/>
      <x:c r="B109" s="172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172"/>
      <x:c r="M109" s="34"/>
      <x:c r="N109" s="35"/>
    </x:row>
    <x:row r="110">
      <x:c r="A110" s="34"/>
      <x:c r="B110" s="172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172"/>
      <x:c r="M110" s="34"/>
      <x:c r="N110" s="35"/>
    </x:row>
    <x:row r="111">
      <x:c r="A111" s="34"/>
      <x:c r="B111" s="172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172"/>
      <x:c r="M111" s="34"/>
      <x:c r="N111" s="35"/>
    </x:row>
    <x:row r="112">
      <x:c r="A112" s="34"/>
      <x:c r="B112" s="172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172"/>
      <x:c r="M112" s="34"/>
      <x:c r="N112" s="35"/>
    </x:row>
    <x:row r="113">
      <x:c r="A113" s="34"/>
      <x:c r="B113" s="172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172"/>
      <x:c r="M113" s="34"/>
      <x:c r="N113" s="35"/>
    </x:row>
    <x:row r="114">
      <x:c r="A114" s="34"/>
      <x:c r="B114" s="172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172"/>
      <x:c r="M114" s="34"/>
      <x:c r="N114" s="35"/>
    </x:row>
    <x:row r="115">
      <x:c r="A115" s="34"/>
      <x:c r="B115" s="172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172"/>
      <x:c r="M115" s="34"/>
      <x:c r="N115" s="35"/>
    </x:row>
    <x:row r="116">
      <x:c r="A116" s="34"/>
      <x:c r="B116" s="172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172"/>
      <x:c r="M116" s="34"/>
      <x:c r="N116" s="35"/>
    </x:row>
    <x:row r="117">
      <x:c r="A117" s="34"/>
      <x:c r="B117" s="172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172"/>
      <x:c r="M117" s="34"/>
      <x:c r="N117" s="35"/>
    </x:row>
    <x:row r="118">
      <x:c r="A118" s="34"/>
      <x:c r="B118" s="172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172"/>
      <x:c r="M118" s="34"/>
      <x:c r="N118" s="35"/>
    </x:row>
    <x:row r="119">
      <x:c r="A119" s="34"/>
      <x:c r="B119" s="172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172"/>
      <x:c r="M119" s="34"/>
      <x:c r="N119" s="35"/>
    </x:row>
    <x:row r="120">
      <x:c r="A120" s="34"/>
      <x:c r="B120" s="172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172"/>
      <x:c r="M120" s="34"/>
      <x:c r="N120" s="35"/>
    </x:row>
    <x:row r="121">
      <x:c r="A121" s="34"/>
      <x:c r="B121" s="172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172"/>
      <x:c r="M121" s="34"/>
      <x:c r="N121" s="35"/>
    </x:row>
    <x:row r="122">
      <x:c r="A122" s="34"/>
      <x:c r="B122" s="172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172"/>
      <x:c r="M122" s="34"/>
      <x:c r="N122" s="35"/>
    </x:row>
    <x:row r="123">
      <x:c r="A123" s="34"/>
      <x:c r="B123" s="172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172"/>
      <x:c r="M123" s="34"/>
      <x:c r="N123" s="35"/>
    </x:row>
    <x:row r="124">
      <x:c r="A124" s="34"/>
      <x:c r="B124" s="172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172"/>
      <x:c r="M124" s="34"/>
      <x:c r="N124" s="35"/>
    </x:row>
    <x:row r="125">
      <x:c r="A125" s="34"/>
      <x:c r="B125" s="172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172"/>
      <x:c r="M125" s="34"/>
      <x:c r="N125" s="35"/>
    </x:row>
    <x:row r="126">
      <x:c r="A126" s="34"/>
      <x:c r="B126" s="172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172"/>
      <x:c r="M126" s="34"/>
      <x:c r="N126" s="35"/>
    </x:row>
    <x:row r="127">
      <x:c r="A127" s="34"/>
      <x:c r="B127" s="172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172"/>
      <x:c r="M127" s="34"/>
      <x:c r="N127" s="35"/>
    </x:row>
    <x:row r="128">
      <x:c r="A128" s="34"/>
      <x:c r="B128" s="172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172"/>
      <x:c r="M128" s="34"/>
      <x:c r="N128" s="35"/>
    </x:row>
    <x:row r="129">
      <x:c r="A129" s="34"/>
      <x:c r="B129" s="172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172"/>
      <x:c r="M129" s="34"/>
      <x:c r="N129" s="35"/>
    </x:row>
    <x:row r="130">
      <x:c r="A130" s="34"/>
      <x:c r="B130" s="172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172"/>
      <x:c r="M130" s="34"/>
      <x:c r="N130" s="35"/>
    </x:row>
    <x:row r="131">
      <x:c r="A131" s="34"/>
      <x:c r="B131" s="172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172"/>
      <x:c r="M131" s="34"/>
      <x:c r="N131" s="35"/>
    </x:row>
    <x:row r="132">
      <x:c r="A132" s="34"/>
      <x:c r="B132" s="172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172"/>
      <x:c r="M132" s="34"/>
      <x:c r="N132" s="35"/>
    </x:row>
    <x:row r="133">
      <x:c r="A133" s="34"/>
      <x:c r="B133" s="172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172"/>
      <x:c r="M133" s="34"/>
      <x:c r="N133" s="35"/>
    </x:row>
    <x:row r="134">
      <x:c r="A134" s="34"/>
      <x:c r="B134" s="172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172"/>
      <x:c r="M134" s="34"/>
      <x:c r="N134" s="35"/>
    </x:row>
    <x:row r="135">
      <x:c r="A135" s="34"/>
      <x:c r="B135" s="172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172"/>
      <x:c r="M135" s="34"/>
      <x:c r="N135" s="35"/>
    </x:row>
    <x:row r="136">
      <x:c r="A136" s="34"/>
      <x:c r="B136" s="172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172"/>
      <x:c r="M136" s="34"/>
      <x:c r="N136" s="35"/>
    </x:row>
    <x:row r="137">
      <x:c r="A137" s="34"/>
      <x:c r="B137" s="172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172"/>
      <x:c r="M137" s="34"/>
      <x:c r="N137" s="35"/>
    </x:row>
    <x:row r="138">
      <x:c r="A138" s="34"/>
      <x:c r="B138" s="172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172"/>
      <x:c r="M138" s="34"/>
      <x:c r="N138" s="35"/>
    </x:row>
    <x:row r="139">
      <x:c r="A139" s="34"/>
      <x:c r="B139" s="172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172"/>
      <x:c r="M139" s="34"/>
      <x:c r="N139" s="35"/>
    </x:row>
    <x:row r="140">
      <x:c r="A140" s="34"/>
      <x:c r="B140" s="172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172"/>
      <x:c r="M140" s="34"/>
      <x:c r="N140" s="35"/>
    </x:row>
    <x:row r="141">
      <x:c r="A141" s="34"/>
      <x:c r="B141" s="172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172"/>
      <x:c r="M141" s="34"/>
      <x:c r="N141" s="35"/>
    </x:row>
    <x:row r="142">
      <x:c r="A142" s="34"/>
      <x:c r="B142" s="172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172"/>
      <x:c r="M142" s="34"/>
      <x:c r="N142" s="35"/>
    </x:row>
    <x:row r="143">
      <x:c r="A143" s="34"/>
      <x:c r="B143" s="172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172"/>
      <x:c r="M143" s="34"/>
      <x:c r="N143" s="35"/>
    </x:row>
    <x:row r="144">
      <x:c r="A144" s="34"/>
      <x:c r="B144" s="172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172"/>
      <x:c r="M144" s="34"/>
      <x:c r="N144" s="35"/>
    </x:row>
    <x:row r="145">
      <x:c r="A145" s="34"/>
      <x:c r="B145" s="172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172"/>
      <x:c r="M145" s="34"/>
      <x:c r="N145" s="35"/>
    </x:row>
    <x:row r="146">
      <x:c r="A146" s="34"/>
      <x:c r="B146" s="172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172"/>
      <x:c r="M146" s="34"/>
      <x:c r="N146" s="35"/>
    </x:row>
    <x:row r="147">
      <x:c r="A147" s="34"/>
      <x:c r="B147" s="172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172"/>
      <x:c r="M147" s="34"/>
      <x:c r="N147" s="35"/>
    </x:row>
    <x:row r="148">
      <x:c r="A148" s="34"/>
      <x:c r="B148" s="172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172"/>
      <x:c r="M148" s="34"/>
      <x:c r="N148" s="35"/>
    </x:row>
    <x:row r="149">
      <x:c r="A149" s="34"/>
      <x:c r="B149" s="172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172"/>
      <x:c r="M149" s="34"/>
      <x:c r="N149" s="35"/>
    </x:row>
    <x:row r="150">
      <x:c r="A150" s="34"/>
      <x:c r="B150" s="172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172"/>
      <x:c r="M150" s="34"/>
      <x:c r="N150" s="35"/>
    </x:row>
    <x:row r="151">
      <x:c r="A151" s="34"/>
      <x:c r="B151" s="172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172"/>
      <x:c r="M151" s="34"/>
      <x:c r="N151" s="35"/>
    </x:row>
    <x:row r="152">
      <x:c r="A152" s="34"/>
      <x:c r="B152" s="172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172"/>
      <x:c r="M152" s="34"/>
      <x:c r="N152" s="35"/>
    </x:row>
    <x:row r="153">
      <x:c r="A153" s="34"/>
      <x:c r="B153" s="172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172"/>
      <x:c r="M153" s="34"/>
      <x:c r="N153" s="35"/>
    </x:row>
    <x:row r="154">
      <x:c r="A154" s="34"/>
      <x:c r="B154" s="172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172"/>
      <x:c r="M154" s="34"/>
      <x:c r="N154" s="35"/>
    </x:row>
    <x:row r="155">
      <x:c r="A155" s="34"/>
      <x:c r="B155" s="172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172"/>
      <x:c r="M155" s="34"/>
      <x:c r="N155" s="35"/>
    </x:row>
    <x:row r="156">
      <x:c r="A156" s="34"/>
      <x:c r="B156" s="172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172"/>
      <x:c r="M156" s="34"/>
      <x:c r="N156" s="35"/>
    </x:row>
    <x:row r="157">
      <x:c r="A157" s="34"/>
      <x:c r="B157" s="172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172"/>
      <x:c r="M157" s="34"/>
      <x:c r="N157" s="35"/>
    </x:row>
    <x:row r="158">
      <x:c r="A158" s="34"/>
      <x:c r="B158" s="172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172"/>
      <x:c r="M158" s="34"/>
      <x:c r="N158" s="35"/>
    </x:row>
    <x:row r="159">
      <x:c r="A159" s="34"/>
      <x:c r="B159" s="172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172"/>
      <x:c r="M159" s="34"/>
      <x:c r="N159" s="35"/>
    </x:row>
    <x:row r="160">
      <x:c r="A160" s="34"/>
      <x:c r="B160" s="172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172"/>
      <x:c r="M160" s="34"/>
      <x:c r="N160" s="35"/>
    </x:row>
    <x:row r="161">
      <x:c r="A161" s="34"/>
      <x:c r="B161" s="172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172"/>
      <x:c r="M161" s="34"/>
      <x:c r="N161" s="35"/>
    </x:row>
    <x:row r="162">
      <x:c r="A162" s="34"/>
      <x:c r="B162" s="172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172"/>
      <x:c r="M162" s="34"/>
      <x:c r="N162" s="35"/>
    </x:row>
    <x:row r="163">
      <x:c r="A163" s="34"/>
      <x:c r="B163" s="172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172"/>
      <x:c r="M163" s="34"/>
      <x:c r="N163" s="35"/>
    </x:row>
    <x:row r="164">
      <x:c r="A164" s="34"/>
      <x:c r="B164" s="172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172"/>
      <x:c r="M164" s="34"/>
      <x:c r="N164" s="35"/>
    </x:row>
    <x:row r="165">
      <x:c r="A165" s="34"/>
      <x:c r="B165" s="172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172"/>
      <x:c r="M165" s="34"/>
      <x:c r="N165" s="35"/>
    </x:row>
    <x:row r="166">
      <x:c r="A166" s="34"/>
      <x:c r="B166" s="172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172"/>
      <x:c r="M166" s="34"/>
      <x:c r="N166" s="35"/>
    </x:row>
    <x:row r="167">
      <x:c r="A167" s="34"/>
      <x:c r="B167" s="172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172"/>
      <x:c r="M167" s="34"/>
      <x:c r="N167" s="35"/>
    </x:row>
    <x:row r="168">
      <x:c r="A168" s="34"/>
      <x:c r="B168" s="172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172"/>
      <x:c r="M168" s="34"/>
      <x:c r="N168" s="35"/>
    </x:row>
    <x:row r="169">
      <x:c r="A169" s="34"/>
      <x:c r="B169" s="172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172"/>
      <x:c r="M169" s="34"/>
      <x:c r="N169" s="35"/>
    </x:row>
    <x:row r="170">
      <x:c r="A170" s="34"/>
      <x:c r="B170" s="172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172"/>
      <x:c r="M170" s="34"/>
      <x:c r="N170" s="35"/>
    </x:row>
    <x:row r="171">
      <x:c r="A171" s="34"/>
      <x:c r="B171" s="172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172"/>
      <x:c r="M171" s="34"/>
      <x:c r="N171" s="35"/>
    </x:row>
    <x:row r="172">
      <x:c r="A172" s="34"/>
      <x:c r="B172" s="172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172"/>
      <x:c r="M172" s="34"/>
      <x:c r="N172" s="35"/>
    </x:row>
    <x:row r="173">
      <x:c r="A173" s="34"/>
      <x:c r="B173" s="172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172"/>
      <x:c r="M173" s="34"/>
      <x:c r="N173" s="35"/>
    </x:row>
    <x:row r="174">
      <x:c r="A174" s="34"/>
      <x:c r="B174" s="172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172"/>
      <x:c r="M174" s="34"/>
      <x:c r="N174" s="35"/>
    </x:row>
    <x:row r="175">
      <x:c r="A175" s="34"/>
      <x:c r="B175" s="172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172"/>
      <x:c r="M175" s="34"/>
      <x:c r="N175" s="35"/>
    </x:row>
    <x:row r="176">
      <x:c r="A176" s="34"/>
      <x:c r="B176" s="172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172"/>
      <x:c r="M176" s="34"/>
      <x:c r="N176" s="35"/>
    </x:row>
    <x:row r="177">
      <x:c r="A177" s="34"/>
      <x:c r="B177" s="172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172"/>
      <x:c r="M177" s="34"/>
      <x:c r="N177" s="35"/>
    </x:row>
    <x:row r="178">
      <x:c r="A178" s="34"/>
      <x:c r="B178" s="172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172"/>
      <x:c r="M178" s="34"/>
      <x:c r="N178" s="35"/>
    </x:row>
    <x:row r="179">
      <x:c r="A179" s="34"/>
      <x:c r="B179" s="172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172"/>
      <x:c r="M179" s="34"/>
      <x:c r="N179" s="35"/>
    </x:row>
    <x:row r="180">
      <x:c r="A180" s="34"/>
      <x:c r="B180" s="172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172"/>
      <x:c r="M180" s="34"/>
      <x:c r="N180" s="35"/>
    </x:row>
    <x:row r="181">
      <x:c r="A181" s="34"/>
      <x:c r="B181" s="172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172"/>
      <x:c r="M181" s="34"/>
      <x:c r="N181" s="35"/>
    </x:row>
    <x:row r="182">
      <x:c r="A182" s="34"/>
      <x:c r="B182" s="172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172"/>
      <x:c r="M182" s="34"/>
      <x:c r="N182" s="35"/>
    </x:row>
    <x:row r="183">
      <x:c r="A183" s="34"/>
      <x:c r="B183" s="172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172"/>
      <x:c r="M183" s="34"/>
      <x:c r="N183" s="35"/>
    </x:row>
    <x:row r="184">
      <x:c r="A184" s="34"/>
      <x:c r="B184" s="172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172"/>
      <x:c r="M184" s="34"/>
      <x:c r="N184" s="35"/>
    </x:row>
    <x:row r="185">
      <x:c r="A185" s="34"/>
      <x:c r="B185" s="172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172"/>
      <x:c r="M185" s="34"/>
      <x:c r="N185" s="35"/>
    </x:row>
    <x:row r="186">
      <x:c r="A186" s="34"/>
      <x:c r="B186" s="172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172"/>
      <x:c r="M186" s="34"/>
      <x:c r="N186" s="35"/>
    </x:row>
    <x:row r="187">
      <x:c r="A187" s="34"/>
      <x:c r="B187" s="172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172"/>
      <x:c r="M187" s="34"/>
      <x:c r="N187" s="35"/>
    </x:row>
    <x:row r="188">
      <x:c r="A188" s="34"/>
      <x:c r="B188" s="172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172"/>
      <x:c r="M188" s="34"/>
      <x:c r="N188" s="35"/>
    </x:row>
    <x:row r="189">
      <x:c r="A189" s="34"/>
      <x:c r="B189" s="172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172"/>
      <x:c r="M189" s="34"/>
      <x:c r="N189" s="35"/>
    </x:row>
    <x:row r="190">
      <x:c r="A190" s="34"/>
      <x:c r="B190" s="172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172"/>
      <x:c r="M190" s="34"/>
      <x:c r="N190" s="35"/>
    </x:row>
    <x:row r="191">
      <x:c r="A191" s="34"/>
      <x:c r="B191" s="172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172"/>
      <x:c r="M191" s="34"/>
      <x:c r="N191" s="35"/>
    </x:row>
    <x:row r="192">
      <x:c r="A192" s="34"/>
      <x:c r="B192" s="172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172"/>
      <x:c r="M192" s="34"/>
      <x:c r="N192" s="35"/>
    </x:row>
    <x:row r="193">
      <x:c r="A193" s="34"/>
      <x:c r="B193" s="172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172"/>
      <x:c r="M193" s="34"/>
      <x:c r="N193" s="35"/>
    </x:row>
    <x:row r="194">
      <x:c r="A194" s="34"/>
      <x:c r="B194" s="172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172"/>
      <x:c r="M194" s="34"/>
      <x:c r="N194" s="35"/>
    </x:row>
    <x:row r="195">
      <x:c r="A195" s="34"/>
      <x:c r="B195" s="172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172"/>
      <x:c r="M195" s="34"/>
      <x:c r="N195" s="35"/>
    </x:row>
    <x:row r="196">
      <x:c r="A196" s="34"/>
      <x:c r="B196" s="172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172"/>
      <x:c r="M196" s="34"/>
      <x:c r="N196" s="35"/>
    </x:row>
    <x:row r="197">
      <x:c r="A197" s="34"/>
      <x:c r="B197" s="172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172"/>
      <x:c r="M197" s="34"/>
      <x:c r="N197" s="35"/>
    </x:row>
    <x:row r="198">
      <x:c r="A198" s="34"/>
      <x:c r="B198" s="172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172"/>
      <x:c r="M198" s="34"/>
      <x:c r="N198" s="35"/>
    </x:row>
    <x:row r="199">
      <x:c r="A199" s="34"/>
      <x:c r="B199" s="172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172"/>
      <x:c r="M199" s="34"/>
      <x:c r="N199" s="35"/>
    </x:row>
    <x:row r="200">
      <x:c r="A200" s="34"/>
      <x:c r="B200" s="172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172"/>
      <x:c r="M200" s="34"/>
      <x:c r="N200" s="35"/>
    </x:row>
    <x:row r="201">
      <x:c r="A201" s="34"/>
      <x:c r="B201" s="172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172"/>
      <x:c r="M201" s="34"/>
      <x:c r="N201" s="35"/>
    </x:row>
    <x:row r="202">
      <x:c r="A202" s="34"/>
      <x:c r="B202" s="172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172"/>
      <x:c r="M202" s="34"/>
      <x:c r="N202" s="35"/>
    </x:row>
    <x:row r="203">
      <x:c r="A203" s="34"/>
      <x:c r="B203" s="172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172"/>
      <x:c r="M203" s="34"/>
      <x:c r="N203" s="35"/>
    </x:row>
    <x:row r="204">
      <x:c r="A204" s="36"/>
      <x:c r="B204" s="173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173"/>
      <x:c r="M204" s="36"/>
      <x:c r="N204" s="37"/>
    </x:row>
  </x:sheetData>
  <x:mergeCells>
    <x:mergeCell ref="A1:N1"/>
    <x:mergeCell ref="A2:N2"/>
  </x:mergeCells>
  <x:dataValidations count="2">
    <x:dataValidation type="list" sqref="D5:D204">
      <x:formula1>"PET_APORTE,PET_LOTE,PET_LIQUIDACION,RACHA_RESULTADO,CRACK_COIN_TX,CONFIG"</x:formula1>
    </x:dataValidation>
    <x:dataValidation type="list" sqref="J5:J204">
      <x:formula1>"PENDIENTE,APROBADA,RECHAZADA,APLICADA"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8ab2c1889a43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4" hidden="0" customWidth="1"/>
    <x:col min="5" max="5" width="12" hidden="0" customWidth="1"/>
    <x:col min="6" max="6" width="22" hidden="0" customWidth="1"/>
    <x:col min="7" max="7" width="54" hidden="0" customWidth="1"/>
  </x:cols>
  <x:sheetData>
    <x:row r="1" ht="30" customHeight="1">
      <x:c r="A1" s="4" t="str">
        <x:v>Mapeo sugerido a base de datos</x:v>
      </x:c>
      <x:c r="B1" s="4"/>
      <x:c r="C1" s="4"/>
      <x:c r="D1" s="4"/>
      <x:c r="E1" s="4"/>
      <x:c r="F1" s="4"/>
      <x:c r="G1" s="4"/>
    </x:row>
    <x:row r="2" ht="34" customHeight="1">
      <x:c r="A2" s="11" t="str">
        <x:v>Estructura lógica para responder a la pregunta de desarrollo: “¿cuál es la estructura de los datos?”</x:v>
      </x:c>
      <x:c r="B2" s="11"/>
      <x:c r="C2" s="11"/>
      <x:c r="D2" s="11"/>
      <x:c r="E2" s="11"/>
      <x:c r="F2" s="11"/>
      <x:c r="G2" s="11"/>
    </x:row>
    <x:row r="4" ht="28" customHeight="1">
      <x:c r="A4" s="20" t="str">
        <x:v>tabla_logica</x:v>
      </x:c>
      <x:c r="B4" s="20" t="str">
        <x:v>campo_clave</x:v>
      </x:c>
      <x:c r="C4" s="20" t="str">
        <x:v>tipo_sugerido</x:v>
      </x:c>
      <x:c r="D4" s="20" t="str">
        <x:v>origen_excel</x:v>
      </x:c>
      <x:c r="E4" s="20" t="str">
        <x:v>nullable</x:v>
      </x:c>
      <x:c r="F4" s="20" t="str">
        <x:v>regla</x:v>
      </x:c>
      <x:c r="G4" s="20" t="str">
        <x:v>nota</x:v>
      </x:c>
    </x:row>
    <x:row r="5">
      <x:c r="A5" s="34" t="str">
        <x:v>pet_contributions</x:v>
      </x:c>
      <x:c r="B5" s="34" t="str">
        <x:v>aporte_id</x:v>
      </x:c>
      <x:c r="C5" s="34" t="str">
        <x:v>UUID/TEXT</x:v>
      </x:c>
      <x:c r="D5" s="34" t="str">
        <x:v>02_PET_APORTES</x:v>
      </x:c>
      <x:c r="E5" s="34" t="str">
        <x:v>NO</x:v>
      </x:c>
      <x:c r="F5" s="34" t="str">
        <x:v>PK</x:v>
      </x:c>
      <x:c r="G5" s="35" t="str">
        <x:v>Registro operativo de botellas.</x:v>
      </x:c>
    </x:row>
    <x:row r="6">
      <x:c r="A6" s="34" t="str">
        <x:v>pet_contributions</x:v>
      </x:c>
      <x:c r="B6" s="34" t="str">
        <x:v>club_id</x:v>
      </x:c>
      <x:c r="C6" s="34" t="str">
        <x:v>UUID/TEXT</x:v>
      </x:c>
      <x:c r="D6" s="34" t="str">
        <x:v>02_PET_APORTES</x:v>
      </x:c>
      <x:c r="E6" s="34" t="str">
        <x:v>NO</x:v>
      </x:c>
      <x:c r="F6" s="34" t="str">
        <x:v>FK clubs</x:v>
      </x:c>
      <x:c r="G6" s="35" t="str">
        <x:v>Club que recibe el aporte.</x:v>
      </x:c>
    </x:row>
    <x:row r="7">
      <x:c r="A7" s="34" t="str">
        <x:v>pet_contributions</x:v>
      </x:c>
      <x:c r="B7" s="34" t="str">
        <x:v>player_id</x:v>
      </x:c>
      <x:c r="C7" s="34" t="str">
        <x:v>UUID/TEXT</x:v>
      </x:c>
      <x:c r="D7" s="34" t="str">
        <x:v>02_PET_APORTES</x:v>
      </x:c>
      <x:c r="E7" s="34" t="str">
        <x:v>SI</x:v>
      </x:c>
      <x:c r="F7" s="34" t="str">
        <x:v>FK players</x:v>
      </x:c>
      <x:c r="G7" s="35" t="str">
        <x:v>Necesario cuando el aporte se atribuye a jugador.</x:v>
      </x:c>
    </x:row>
    <x:row r="8">
      <x:c r="A8" s="34" t="str">
        <x:v>pet_contributions</x:v>
      </x:c>
      <x:c r="B8" s="34" t="str">
        <x:v>session_id</x:v>
      </x:c>
      <x:c r="C8" s="34" t="str">
        <x:v>UUID/TEXT</x:v>
      </x:c>
      <x:c r="D8" s="34" t="str">
        <x:v>02_PET_APORTES</x:v>
      </x:c>
      <x:c r="E8" s="34" t="str">
        <x:v>SI</x:v>
      </x:c>
      <x:c r="F8" s="34" t="str">
        <x:v>FK sessions</x:v>
      </x:c>
      <x:c r="G8" s="35" t="str">
        <x:v>Vincula PET con sesión cuando exista.</x:v>
      </x:c>
    </x:row>
    <x:row r="9">
      <x:c r="A9" s="34" t="str">
        <x:v>pet_contributions</x:v>
      </x:c>
      <x:c r="B9" s="34" t="str">
        <x:v>bottles_collected</x:v>
      </x:c>
      <x:c r="C9" s="34" t="str">
        <x:v>INTEGER</x:v>
      </x:c>
      <x:c r="D9" s="34" t="str">
        <x:v>02_PET_APORTES</x:v>
      </x:c>
      <x:c r="E9" s="34" t="str">
        <x:v>NO</x:v>
      </x:c>
      <x:c r="F9" s="34" t="str">
        <x:v>&gt;=0</x:v>
      </x:c>
      <x:c r="G9" s="35" t="str">
        <x:v>Dato operativo.</x:v>
      </x:c>
    </x:row>
    <x:row r="10">
      <x:c r="A10" s="34" t="str">
        <x:v>pet_batches</x:v>
      </x:c>
      <x:c r="B10" s="34" t="str">
        <x:v>lot_id</x:v>
      </x:c>
      <x:c r="C10" s="34" t="str">
        <x:v>UUID/TEXT</x:v>
      </x:c>
      <x:c r="D10" s="34" t="str">
        <x:v>03_PET_LOTES</x:v>
      </x:c>
      <x:c r="E10" s="34" t="str">
        <x:v>NO</x:v>
      </x:c>
      <x:c r="F10" s="34" t="str">
        <x:v>PK</x:v>
      </x:c>
      <x:c r="G10" s="35" t="str">
        <x:v>Lote auditable único.</x:v>
      </x:c>
    </x:row>
    <x:row r="11">
      <x:c r="A11" s="34" t="str">
        <x:v>pet_batches</x:v>
      </x:c>
      <x:c r="B11" s="34" t="str">
        <x:v>bottles_sent</x:v>
      </x:c>
      <x:c r="C11" s="34" t="str">
        <x:v>INTEGER</x:v>
      </x:c>
      <x:c r="D11" s="34" t="str">
        <x:v>03_PET_LOTES</x:v>
      </x:c>
      <x:c r="E11" s="34" t="str">
        <x:v>NO</x:v>
      </x:c>
      <x:c r="F11" s="34" t="str">
        <x:v>&gt;=0</x:v>
      </x:c>
      <x:c r="G11" s="35" t="str">
        <x:v>No confundir con recolectadas.</x:v>
      </x:c>
    </x:row>
    <x:row r="12">
      <x:c r="A12" s="34" t="str">
        <x:v>pet_batches</x:v>
      </x:c>
      <x:c r="B12" s="34" t="str">
        <x:v>estimated_kg</x:v>
      </x:c>
      <x:c r="C12" s="34" t="str">
        <x:v>DECIMAL</x:v>
      </x:c>
      <x:c r="D12" s="34" t="str">
        <x:v>03_PET_LOTES</x:v>
      </x:c>
      <x:c r="E12" s="34" t="str">
        <x:v>SI</x:v>
      </x:c>
      <x:c r="F12" s="34" t="str">
        <x:v>DERIVADO</x:v>
      </x:c>
      <x:c r="G12" s="35" t="str">
        <x:v>Solo planeación.</x:v>
      </x:c>
    </x:row>
    <x:row r="13">
      <x:c r="A13" s="34" t="str">
        <x:v>pet_batches</x:v>
      </x:c>
      <x:c r="B13" s="34" t="str">
        <x:v>real_kg</x:v>
      </x:c>
      <x:c r="C13" s="34" t="str">
        <x:v>DECIMAL</x:v>
      </x:c>
      <x:c r="D13" s="34" t="str">
        <x:v>03_PET_LOTES</x:v>
      </x:c>
      <x:c r="E13" s="34" t="str">
        <x:v>SI</x:v>
      </x:c>
      <x:c r="F13" s="34" t="str">
        <x:v>VALIDADO</x:v>
      </x:c>
      <x:c r="G13" s="35" t="str">
        <x:v>Fuente: pesaje compactadora.</x:v>
      </x:c>
    </x:row>
    <x:row r="14">
      <x:c r="A14" s="34" t="str">
        <x:v>pet_batches</x:v>
      </x:c>
      <x:c r="B14" s="34" t="str">
        <x:v>support_url</x:v>
      </x:c>
      <x:c r="C14" s="34" t="str">
        <x:v>TEXT</x:v>
      </x:c>
      <x:c r="D14" s="34" t="str">
        <x:v>03_PET_LOTES</x:v>
      </x:c>
      <x:c r="E14" s="34" t="str">
        <x:v>SI</x:v>
      </x:c>
      <x:c r="F14" s="34" t="str">
        <x:v>AUDITORIA</x:v>
      </x:c>
      <x:c r="G14" s="35" t="str">
        <x:v>PDF/foto de soporte.</x:v>
      </x:c>
    </x:row>
    <x:row r="15">
      <x:c r="A15" s="34" t="str">
        <x:v>pet_settlements</x:v>
      </x:c>
      <x:c r="B15" s="34" t="str">
        <x:v>settlement_id</x:v>
      </x:c>
      <x:c r="C15" s="34" t="str">
        <x:v>UUID/TEXT</x:v>
      </x:c>
      <x:c r="D15" s="34" t="str">
        <x:v>04_PET_LIQUIDACIONES</x:v>
      </x:c>
      <x:c r="E15" s="34" t="str">
        <x:v>NO</x:v>
      </x:c>
      <x:c r="F15" s="34" t="str">
        <x:v>PK</x:v>
      </x:c>
      <x:c r="G15" s="35" t="str">
        <x:v>Liquidación monetaria del lote.</x:v>
      </x:c>
    </x:row>
    <x:row r="16">
      <x:c r="A16" s="34" t="str">
        <x:v>pet_settlements</x:v>
      </x:c>
      <x:c r="B16" s="34" t="str">
        <x:v>cop_paid</x:v>
      </x:c>
      <x:c r="C16" s="34" t="str">
        <x:v>DECIMAL</x:v>
      </x:c>
      <x:c r="D16" s="34" t="str">
        <x:v>04_PET_LIQUIDACIONES</x:v>
      </x:c>
      <x:c r="E16" s="34" t="str">
        <x:v>SI</x:v>
      </x:c>
      <x:c r="F16" s="34" t="str">
        <x:v>REAL</x:v>
      </x:c>
      <x:c r="G16" s="35" t="str">
        <x:v>Solo existe con liquidación documentada.</x:v>
      </x:c>
    </x:row>
    <x:row r="17">
      <x:c r="A17" s="34" t="str">
        <x:v>pet_settlements</x:v>
      </x:c>
      <x:c r="B17" s="34" t="str">
        <x:v>trm_cop_usd</x:v>
      </x:c>
      <x:c r="C17" s="34" t="str">
        <x:v>DECIMAL</x:v>
      </x:c>
      <x:c r="D17" s="34" t="str">
        <x:v>04_PET_LIQUIDACIONES</x:v>
      </x:c>
      <x:c r="E17" s="34" t="str">
        <x:v>SI</x:v>
      </x:c>
      <x:c r="F17" s="34" t="str">
        <x:v>HISTORICA</x:v>
      </x:c>
      <x:c r="G17" s="35" t="str">
        <x:v>No reescribir pasado.</x:v>
      </x:c>
    </x:row>
    <x:row r="18">
      <x:c r="A18" s="34" t="str">
        <x:v>streak_results</x:v>
      </x:c>
      <x:c r="B18" s="34" t="str">
        <x:v>streak_result_id</x:v>
      </x:c>
      <x:c r="C18" s="34" t="str">
        <x:v>UUID/TEXT</x:v>
      </x:c>
      <x:c r="D18" s="34" t="str">
        <x:v>05_RACHA_RESULTADOS</x:v>
      </x:c>
      <x:c r="E18" s="34" t="str">
        <x:v>NO</x:v>
      </x:c>
      <x:c r="F18" s="34" t="str">
        <x:v>PK</x:v>
      </x:c>
      <x:c r="G18" s="35" t="str">
        <x:v>Resultado verificable de período.</x:v>
      </x:c>
    </x:row>
    <x:row r="19">
      <x:c r="A19" s="34" t="str">
        <x:v>streak_results</x:v>
      </x:c>
      <x:c r="B19" s="34" t="str">
        <x:v>score</x:v>
      </x:c>
      <x:c r="C19" s="34" t="str">
        <x:v>DECIMAL</x:v>
      </x:c>
      <x:c r="D19" s="34" t="str">
        <x:v>05_RACHA_RESULTADOS</x:v>
      </x:c>
      <x:c r="E19" s="34" t="str">
        <x:v>SI</x:v>
      </x:c>
      <x:c r="F19" s="34" t="str">
        <x:v>DERIVADO</x:v>
      </x:c>
      <x:c r="G19" s="35" t="str">
        <x:v>Usa pesos configurables.</x:v>
      </x:c>
    </x:row>
    <x:row r="20">
      <x:c r="A20" s="34" t="str">
        <x:v>streak_results</x:v>
      </x:c>
      <x:c r="B20" s="34" t="str">
        <x:v>verified_week</x:v>
      </x:c>
      <x:c r="C20" s="34" t="str">
        <x:v>BOOLEAN/ENUM</x:v>
      </x:c>
      <x:c r="D20" s="34" t="str">
        <x:v>05_RACHA_RESULTADOS</x:v>
      </x:c>
      <x:c r="E20" s="34" t="str">
        <x:v>SI</x:v>
      </x:c>
      <x:c r="F20" s="34" t="str">
        <x:v>PENDIENTE UMBRAL</x:v>
      </x:c>
      <x:c r="G20" s="35" t="str">
        <x:v>No inventar el umbral.</x:v>
      </x:c>
    </x:row>
    <x:row r="21">
      <x:c r="A21" s="34" t="str">
        <x:v>crack_coin_ledger</x:v>
      </x:c>
      <x:c r="B21" s="34" t="str">
        <x:v>tx_id</x:v>
      </x:c>
      <x:c r="C21" s="34" t="str">
        <x:v>UUID/TEXT</x:v>
      </x:c>
      <x:c r="D21" s="34" t="str">
        <x:v>06_CRACK_COINS_LEDGER</x:v>
      </x:c>
      <x:c r="E21" s="34" t="str">
        <x:v>NO</x:v>
      </x:c>
      <x:c r="F21" s="34" t="str">
        <x:v>PK</x:v>
      </x:c>
      <x:c r="G21" s="35" t="str">
        <x:v>Ledger append-only recomendado.</x:v>
      </x:c>
    </x:row>
    <x:row r="22">
      <x:c r="A22" s="34" t="str">
        <x:v>crack_coin_ledger</x:v>
      </x:c>
      <x:c r="B22" s="34" t="str">
        <x:v>source_type</x:v>
      </x:c>
      <x:c r="C22" s="34" t="str">
        <x:v>ENUM</x:v>
      </x:c>
      <x:c r="D22" s="34" t="str">
        <x:v>06_CRACK_COINS_LEDGER</x:v>
      </x:c>
      <x:c r="E22" s="34" t="str">
        <x:v>NO</x:v>
      </x:c>
      <x:c r="F22" s="34" t="str">
        <x:v>PET/RACHA/CORRECCION</x:v>
      </x:c>
      <x:c r="G22" s="35" t="str">
        <x:v>Trazabilidad del origen.</x:v>
      </x:c>
    </x:row>
    <x:row r="23">
      <x:c r="A23" s="34" t="str">
        <x:v>crack_coin_ledger</x:v>
      </x:c>
      <x:c r="B23" s="34" t="str">
        <x:v>source_id</x:v>
      </x:c>
      <x:c r="C23" s="34" t="str">
        <x:v>UUID/TEXT</x:v>
      </x:c>
      <x:c r="D23" s="34" t="str">
        <x:v>06_CRACK_COINS_LEDGER</x:v>
      </x:c>
      <x:c r="E23" s="34" t="str">
        <x:v>NO</x:v>
      </x:c>
      <x:c r="F23" s="34" t="str">
        <x:v>FK lógico</x:v>
      </x:c>
      <x:c r="G23" s="35" t="str">
        <x:v>Referencia al evento/result origen.</x:v>
      </x:c>
    </x:row>
    <x:row r="24">
      <x:c r="A24" s="34" t="str">
        <x:v>crack_coin_ledger</x:v>
      </x:c>
      <x:c r="B24" s="34" t="str">
        <x:v>coin_delta</x:v>
      </x:c>
      <x:c r="C24" s="34" t="str">
        <x:v>INTEGER</x:v>
      </x:c>
      <x:c r="D24" s="34" t="str">
        <x:v>06_CRACK_COINS_LEDGER</x:v>
      </x:c>
      <x:c r="E24" s="34" t="str">
        <x:v>NO</x:v>
      </x:c>
      <x:c r="F24" s="34" t="str">
        <x:v>SEGÚN REGLA</x:v>
      </x:c>
      <x:c r="G24" s="35" t="str">
        <x:v>Tasa no definida en este archivo.</x:v>
      </x:c>
    </x:row>
    <x:row r="25">
      <x:c r="A25" s="34" t="str">
        <x:v>data_corrections</x:v>
      </x:c>
      <x:c r="B25" s="34" t="str">
        <x:v>correction_id</x:v>
      </x:c>
      <x:c r="C25" s="34" t="str">
        <x:v>UUID/TEXT</x:v>
      </x:c>
      <x:c r="D25" s="34" t="str">
        <x:v>07_CORRECCIONES</x:v>
      </x:c>
      <x:c r="E25" s="34" t="str">
        <x:v>NO</x:v>
      </x:c>
      <x:c r="F25" s="34" t="str">
        <x:v>PK</x:v>
      </x:c>
      <x:c r="G25" s="35" t="str">
        <x:v>Auditoría de cambios.</x:v>
      </x:c>
    </x:row>
    <x:row r="26">
      <x:c r="A26" s="34" t="str">
        <x:v>data_corrections</x:v>
      </x:c>
      <x:c r="B26" s="34" t="str">
        <x:v>original_value</x:v>
      </x:c>
      <x:c r="C26" s="34" t="str">
        <x:v>TEXT/JSON</x:v>
      </x:c>
      <x:c r="D26" s="34" t="str">
        <x:v>07_CORRECCIONES</x:v>
      </x:c>
      <x:c r="E26" s="34" t="str">
        <x:v>SI</x:v>
      </x:c>
      <x:c r="F26" s="34" t="str">
        <x:v>AUDITORIA</x:v>
      </x:c>
      <x:c r="G26" s="35" t="str">
        <x:v>Valor anterior.</x:v>
      </x:c>
    </x:row>
    <x:row r="27">
      <x:c r="A27" s="36" t="str">
        <x:v>data_corrections</x:v>
      </x:c>
      <x:c r="B27" s="36" t="str">
        <x:v>requested_value</x:v>
      </x:c>
      <x:c r="C27" s="36" t="str">
        <x:v>TEXT/JSON</x:v>
      </x:c>
      <x:c r="D27" s="36" t="str">
        <x:v>07_CORRECCIONES</x:v>
      </x:c>
      <x:c r="E27" s="36" t="str">
        <x:v>SI</x:v>
      </x:c>
      <x:c r="F27" s="36" t="str">
        <x:v>AUDITORIA</x:v>
      </x:c>
      <x:c r="G27" s="37" t="str">
        <x:v>Valor solicitado.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6" hidden="0" customWidth="1"/>
    <x:col min="4" max="4" width="54" hidden="0" customWidth="1"/>
  </x:cols>
  <x:sheetData>
    <x:row r="1" ht="30" customHeight="1">
      <x:c r="A1" s="4" t="str">
        <x:v>Catálogos de referencia</x:v>
      </x:c>
      <x:c r="B1" s="4"/>
      <x:c r="C1" s="4"/>
      <x:c r="D1" s="4"/>
    </x:row>
    <x:row r="2" ht="34" customHeight="1">
      <x:c r="A2" s="11" t="str">
        <x:v>Valores usados por validaciones del Excel. Pueden migrarse a tablas catálogo en plataforma.</x:v>
      </x:c>
      <x:c r="B2" s="11"/>
      <x:c r="C2" s="11"/>
      <x:c r="D2" s="11"/>
    </x:row>
    <x:row r="4" ht="28" customHeight="1">
      <x:c r="A4" s="20" t="str">
        <x:v>catalogo</x:v>
      </x:c>
      <x:c r="B4" s="20" t="str">
        <x:v>valor</x:v>
      </x:c>
      <x:c r="C4" s="20" t="str">
        <x:v>uso</x:v>
      </x:c>
      <x:c r="D4" s="20" t="str">
        <x:v>nota</x:v>
      </x:c>
    </x:row>
    <x:row r="5">
      <x:c r="A5" s="34" t="str">
        <x:v>PET_APORTE_ESTADO</x:v>
      </x:c>
      <x:c r="B5" s="34" t="str">
        <x:v>RECOLECTADO</x:v>
      </x:c>
      <x:c r="C5" s="34" t="str">
        <x:v>02_PET_APORTES</x:v>
      </x:c>
      <x:c r="D5" s="35" t="str">
        <x:v>Registrado en club.</x:v>
      </x:c>
    </x:row>
    <x:row r="6">
      <x:c r="A6" s="34" t="str">
        <x:v>PET_APORTE_ESTADO</x:v>
      </x:c>
      <x:c r="B6" s="34" t="str">
        <x:v>PENDIENTE_ENVIAR</x:v>
      </x:c>
      <x:c r="C6" s="34" t="str">
        <x:v>02_PET_APORTES</x:v>
      </x:c>
      <x:c r="D6" s="35" t="str">
        <x:v>Aún no asociado a lote despachado.</x:v>
      </x:c>
    </x:row>
    <x:row r="7">
      <x:c r="A7" s="34" t="str">
        <x:v>PET_APORTE_ESTADO</x:v>
      </x:c>
      <x:c r="B7" s="34" t="str">
        <x:v>INCLUIDO_EN_LOTE</x:v>
      </x:c>
      <x:c r="C7" s="34" t="str">
        <x:v>02_PET_APORTES</x:v>
      </x:c>
      <x:c r="D7" s="35" t="str">
        <x:v>Ya asociado a lote.</x:v>
      </x:c>
    </x:row>
    <x:row r="8">
      <x:c r="A8" s="34" t="str">
        <x:v>PET_LOTE_ESTADO</x:v>
      </x:c>
      <x:c r="B8" s="34" t="str">
        <x:v>EN_PREPARACION</x:v>
      </x:c>
      <x:c r="C8" s="34" t="str">
        <x:v>03_PET_LOTES</x:v>
      </x:c>
      <x:c r="D8" s="35" t="str">
        <x:v>Lote abierto.</x:v>
      </x:c>
    </x:row>
    <x:row r="9">
      <x:c r="A9" s="34" t="str">
        <x:v>PET_LOTE_ESTADO</x:v>
      </x:c>
      <x:c r="B9" s="34" t="str">
        <x:v>ENVIADO</x:v>
      </x:c>
      <x:c r="C9" s="34" t="str">
        <x:v>03_PET_LOTES</x:v>
      </x:c>
      <x:c r="D9" s="35" t="str">
        <x:v>Salió del club.</x:v>
      </x:c>
    </x:row>
    <x:row r="10">
      <x:c r="A10" s="34" t="str">
        <x:v>PET_LOTE_ESTADO</x:v>
      </x:c>
      <x:c r="B10" s="34" t="str">
        <x:v>RECIBIDO_PESADO</x:v>
      </x:c>
      <x:c r="C10" s="34" t="str">
        <x:v>03_PET_LOTES</x:v>
      </x:c>
      <x:c r="D10" s="35" t="str">
        <x:v>Kg real registrado.</x:v>
      </x:c>
    </x:row>
    <x:row r="11">
      <x:c r="A11" s="34" t="str">
        <x:v>PET_LOTE_ESTADO</x:v>
      </x:c>
      <x:c r="B11" s="34" t="str">
        <x:v>LIQUIDADO</x:v>
      </x:c>
      <x:c r="C11" s="34" t="str">
        <x:v>03_PET_LOTES</x:v>
      </x:c>
      <x:c r="D11" s="35" t="str">
        <x:v>COP informado.</x:v>
      </x:c>
    </x:row>
    <x:row r="12">
      <x:c r="A12" s="34" t="str">
        <x:v>PET_LOTE_ESTADO</x:v>
      </x:c>
      <x:c r="B12" s="34" t="str">
        <x:v>CONCILIADO</x:v>
      </x:c>
      <x:c r="C12" s="34" t="str">
        <x:v>03_PET_LOTES</x:v>
      </x:c>
      <x:c r="D12" s="35" t="str">
        <x:v>Pago asociado y lote cerrado.</x:v>
      </x:c>
    </x:row>
    <x:row r="13">
      <x:c r="A13" s="34" t="str">
        <x:v>CC_SOURCE_TYPE</x:v>
      </x:c>
      <x:c r="B13" s="34" t="str">
        <x:v>PET</x:v>
      </x:c>
      <x:c r="C13" s="34" t="str">
        <x:v>06_CRACK_COINS_LEDGER</x:v>
      </x:c>
      <x:c r="D13" s="35" t="str">
        <x:v>Origen permitido según definición actual.</x:v>
      </x:c>
    </x:row>
    <x:row r="14">
      <x:c r="A14" s="34" t="str">
        <x:v>CC_SOURCE_TYPE</x:v>
      </x:c>
      <x:c r="B14" s="34" t="str">
        <x:v>RACHA</x:v>
      </x:c>
      <x:c r="C14" s="34" t="str">
        <x:v>06_CRACK_COINS_LEDGER</x:v>
      </x:c>
      <x:c r="D14" s="35" t="str">
        <x:v>Origen permitido según definición actual.</x:v>
      </x:c>
    </x:row>
    <x:row r="15">
      <x:c r="A15" s="34" t="str">
        <x:v>CC_SOURCE_TYPE</x:v>
      </x:c>
      <x:c r="B15" s="34" t="str">
        <x:v>CORRECCION</x:v>
      </x:c>
      <x:c r="C15" s="34" t="str">
        <x:v>06_CRACK_COINS_LEDGER</x:v>
      </x:c>
      <x:c r="D15" s="35" t="str">
        <x:v>Movimiento de ajuste auditado.</x:v>
      </x:c>
    </x:row>
    <x:row r="16">
      <x:c r="A16" s="34" t="str">
        <x:v>CORRECCION_ESTADO</x:v>
      </x:c>
      <x:c r="B16" s="34" t="str">
        <x:v>PENDIENTE</x:v>
      </x:c>
      <x:c r="C16" s="34" t="str">
        <x:v>07_CORRECCIONES</x:v>
      </x:c>
      <x:c r="D16" s="35" t="str">
        <x:v>Solicitud creada.</x:v>
      </x:c>
    </x:row>
    <x:row r="17">
      <x:c r="A17" s="34" t="str">
        <x:v>CORRECCION_ESTADO</x:v>
      </x:c>
      <x:c r="B17" s="34" t="str">
        <x:v>APROBADA</x:v>
      </x:c>
      <x:c r="C17" s="34" t="str">
        <x:v>07_CORRECCIONES</x:v>
      </x:c>
      <x:c r="D17" s="35" t="str">
        <x:v>Autorizada, pendiente de aplicar.</x:v>
      </x:c>
    </x:row>
    <x:row r="18">
      <x:c r="A18" s="34" t="str">
        <x:v>CORRECCION_ESTADO</x:v>
      </x:c>
      <x:c r="B18" s="34" t="str">
        <x:v>RECHAZADA</x:v>
      </x:c>
      <x:c r="C18" s="34" t="str">
        <x:v>07_CORRECCIONES</x:v>
      </x:c>
      <x:c r="D18" s="35" t="str">
        <x:v>No se aplica.</x:v>
      </x:c>
    </x:row>
    <x:row r="19">
      <x:c r="A19" s="36" t="str">
        <x:v>CORRECCION_ESTADO</x:v>
      </x:c>
      <x:c r="B19" s="36" t="str">
        <x:v>APLICADA</x:v>
      </x:c>
      <x:c r="C19" s="36" t="str">
        <x:v>07_CORRECCIONES</x:v>
      </x:c>
      <x:c r="D19" s="37" t="str">
        <x:v>Cambio materializado con referencia.</x:v>
      </x:c>
    </x:row>
  </x:sheetData>
  <x:mergeCells>
    <x:mergeCell ref="A1:D1"/>
    <x:mergeCell ref="A2:D2"/>
  </x:mergeCells>
  <x:pageMargins left="0.7" right="0.7" top="0.75" bottom="0.75" header="0.3" footer="0.3"/>
</x:worksheet>
</file>